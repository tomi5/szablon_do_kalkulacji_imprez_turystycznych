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1695" yWindow="-105" windowWidth="10815" windowHeight="10035"/>
  </bookViews>
  <sheets>
    <sheet name="Cena PLN" sheetId="1" r:id="rId1"/>
    <sheet name="koszty autokaru" sheetId="2" r:id="rId2"/>
    <sheet name="koszty na miejscu" sheetId="3" r:id="rId3"/>
    <sheet name="NIE USUWAC" sheetId="4" state="hidden" r:id="rId4"/>
  </sheets>
  <definedNames>
    <definedName name="KURS_EURO">'NIE USUWAC'!$A$3:$A$4</definedName>
    <definedName name="Wybierz_walute">'Cena PLN'!$A$6</definedName>
    <definedName name="Wybór_waluty">'NIE USUWAC'!$A$3:$A$4</definedName>
  </definedNames>
  <calcPr calcId="145621"/>
</workbook>
</file>

<file path=xl/calcChain.xml><?xml version="1.0" encoding="utf-8"?>
<calcChain xmlns="http://schemas.openxmlformats.org/spreadsheetml/2006/main">
  <c r="G21" i="1" l="1"/>
  <c r="M21" i="1"/>
  <c r="M35" i="1" l="1"/>
  <c r="A57" i="1"/>
  <c r="A58" i="1"/>
  <c r="A59" i="1"/>
  <c r="A60" i="1"/>
  <c r="A56" i="1"/>
  <c r="B72" i="1" l="1"/>
  <c r="F72" i="1" s="1"/>
  <c r="E9" i="2" l="1"/>
  <c r="M56" i="1" l="1"/>
  <c r="M57" i="1"/>
  <c r="M58" i="1"/>
  <c r="M59" i="1"/>
  <c r="M60" i="1"/>
  <c r="H11" i="1"/>
  <c r="F3" i="3" l="1"/>
  <c r="D70" i="1"/>
  <c r="C70" i="1"/>
  <c r="A10" i="4"/>
  <c r="A7" i="4"/>
  <c r="A28" i="1"/>
  <c r="F7" i="1"/>
  <c r="C16" i="1" l="1"/>
  <c r="M34" i="1"/>
  <c r="C36" i="1" l="1"/>
  <c r="F36" i="1"/>
  <c r="I36" i="1"/>
  <c r="M32" i="1"/>
  <c r="M33" i="1"/>
  <c r="M31" i="1"/>
  <c r="M36" i="1" l="1"/>
  <c r="K17" i="1"/>
  <c r="G16" i="1" l="1"/>
  <c r="G20" i="1" l="1"/>
  <c r="M20" i="1"/>
  <c r="A71" i="1" l="1"/>
  <c r="A72" i="1"/>
  <c r="A73" i="1"/>
  <c r="A74" i="1"/>
  <c r="A75" i="1"/>
  <c r="B71" i="1"/>
  <c r="F71" i="1" s="1"/>
  <c r="B73" i="1"/>
  <c r="B74" i="1"/>
  <c r="F74" i="1" s="1"/>
  <c r="B75" i="1"/>
  <c r="F75" i="1" s="1"/>
  <c r="I11" i="3"/>
  <c r="H11" i="3"/>
  <c r="G11" i="3"/>
  <c r="F11" i="3"/>
  <c r="M1" i="1"/>
  <c r="G17" i="1"/>
  <c r="G18" i="1"/>
  <c r="G19" i="1"/>
  <c r="B9" i="2"/>
  <c r="B11" i="2" s="1"/>
  <c r="K1" i="2" s="1"/>
  <c r="K2" i="2" s="1"/>
  <c r="A13" i="2" s="1"/>
  <c r="H62" i="1"/>
  <c r="F73" i="1" l="1"/>
  <c r="C71" i="1"/>
  <c r="C72" i="1"/>
  <c r="C75" i="1"/>
  <c r="C73" i="1"/>
  <c r="C74" i="1"/>
  <c r="I16" i="1"/>
  <c r="I22" i="1" s="1"/>
  <c r="F16" i="1"/>
  <c r="E56" i="1"/>
  <c r="F56" i="1" s="1"/>
  <c r="E57" i="1"/>
  <c r="F57" i="1" s="1"/>
  <c r="E58" i="1"/>
  <c r="F58" i="1" s="1"/>
  <c r="E59" i="1"/>
  <c r="F59" i="1" s="1"/>
  <c r="E60" i="1"/>
  <c r="F60" i="1" s="1"/>
  <c r="M18" i="1"/>
  <c r="M19" i="1"/>
  <c r="F17" i="1" l="1"/>
  <c r="F22" i="1" s="1"/>
  <c r="K16" i="1"/>
  <c r="M16" i="1" s="1"/>
  <c r="C22" i="1" l="1"/>
  <c r="M17" i="1"/>
  <c r="M22" i="1" s="1"/>
  <c r="C57" i="1" l="1"/>
  <c r="H57" i="1" s="1"/>
  <c r="C60" i="1"/>
  <c r="H60" i="1" s="1"/>
  <c r="C58" i="1"/>
  <c r="H58" i="1" s="1"/>
  <c r="C59" i="1"/>
  <c r="C56" i="1"/>
  <c r="H56" i="1" s="1"/>
  <c r="H59" i="1"/>
</calcChain>
</file>

<file path=xl/sharedStrings.xml><?xml version="1.0" encoding="utf-8"?>
<sst xmlns="http://schemas.openxmlformats.org/spreadsheetml/2006/main" count="116" uniqueCount="85">
  <si>
    <t>KURS EURO</t>
  </si>
  <si>
    <t>wpisz nazwe imprezy</t>
  </si>
  <si>
    <t>wpisz date imprezy</t>
  </si>
  <si>
    <t>LICZBA DNI</t>
  </si>
  <si>
    <t>PŁATNOŚĆI W PLN</t>
  </si>
  <si>
    <t>UCZESTNIK</t>
  </si>
  <si>
    <t>PILOT</t>
  </si>
  <si>
    <t>GRUPA</t>
  </si>
  <si>
    <t>wynagrodzenie</t>
  </si>
  <si>
    <t>TFG</t>
  </si>
  <si>
    <t>Ubezpieczenie</t>
  </si>
  <si>
    <t>ubezpieczenie stawka</t>
  </si>
  <si>
    <t>samolot</t>
  </si>
  <si>
    <t>prowizja agenta</t>
  </si>
  <si>
    <t>STAWKA PILOT</t>
  </si>
  <si>
    <t>ubezpieczenie</t>
  </si>
  <si>
    <t>Suma</t>
  </si>
  <si>
    <t>/dzien</t>
  </si>
  <si>
    <t>hotel</t>
  </si>
  <si>
    <t>WYLICZENIE CENY</t>
  </si>
  <si>
    <t>przedział osób</t>
  </si>
  <si>
    <t xml:space="preserve"> liczba pax</t>
  </si>
  <si>
    <t>netto pax</t>
  </si>
  <si>
    <t>30-34</t>
  </si>
  <si>
    <t>35-39</t>
  </si>
  <si>
    <t>40-44</t>
  </si>
  <si>
    <t>50-55</t>
  </si>
  <si>
    <t>np. przewodnik</t>
  </si>
  <si>
    <t>SUMA</t>
  </si>
  <si>
    <t>GRATISY</t>
  </si>
  <si>
    <t>kwota</t>
  </si>
  <si>
    <t>ilość</t>
  </si>
  <si>
    <t>RAZEM</t>
  </si>
  <si>
    <t>marża brutto
pax</t>
  </si>
  <si>
    <t>total 
marża brutto</t>
  </si>
  <si>
    <t>CENA  
Z MARŻA</t>
  </si>
  <si>
    <t>CENA
 NA UMOWIE</t>
  </si>
  <si>
    <t>45-49</t>
  </si>
  <si>
    <t>LICZBA DNI PILOT</t>
  </si>
  <si>
    <t>total 
marża netto w UE</t>
  </si>
  <si>
    <t>DOPŁATA DO SGL</t>
  </si>
  <si>
    <t>dopłata 
do sgl</t>
  </si>
  <si>
    <t>AUTOKAR</t>
  </si>
  <si>
    <t>Ilość km</t>
  </si>
  <si>
    <t>+ % km</t>
  </si>
  <si>
    <t>stawka za km</t>
  </si>
  <si>
    <t>koszt autokaru</t>
  </si>
  <si>
    <t>km z nadwyżką</t>
  </si>
  <si>
    <t>RODZAJ TRANSPORTU GŁÓWNEGO</t>
  </si>
  <si>
    <t>WYLICZENIE KOSZTÓW AUTOKARU</t>
  </si>
  <si>
    <t>UZUPEŁNIJ TYLKO ŻÓŁTE POLA</t>
  </si>
  <si>
    <t>KALKULACJA Z DNIA</t>
  </si>
  <si>
    <t>PLN</t>
  </si>
  <si>
    <t>koszt pax</t>
  </si>
  <si>
    <t>koszt grupa</t>
  </si>
  <si>
    <t>USŁUGA</t>
  </si>
  <si>
    <t>przewodnik rzym</t>
  </si>
  <si>
    <t>wstep A</t>
  </si>
  <si>
    <t>&lt;&lt; POWRÓT DO KALKULACJI</t>
  </si>
  <si>
    <t>&lt;&lt; POWRÓT TO KALKULACJI</t>
  </si>
  <si>
    <t>KLIKNIJ ABY POLICZYĆ KOSZTY NA MIEJSCU</t>
  </si>
  <si>
    <t>SAMOLOT</t>
  </si>
  <si>
    <t>KOSZTY PŁATNE NA MIEJSCU</t>
  </si>
  <si>
    <r>
      <t xml:space="preserve">KOSZT NA UMOWIE </t>
    </r>
    <r>
      <rPr>
        <b/>
        <u/>
        <sz val="12"/>
        <color theme="1"/>
        <rFont val="Calibri"/>
        <family val="2"/>
        <charset val="238"/>
        <scheme val="minor"/>
      </rPr>
      <t>PLN</t>
    </r>
  </si>
  <si>
    <r>
      <t xml:space="preserve">Koszt/PAX
</t>
    </r>
    <r>
      <rPr>
        <b/>
        <u/>
        <sz val="12"/>
        <color theme="1"/>
        <rFont val="Calibri"/>
        <family val="2"/>
        <charset val="238"/>
        <scheme val="minor"/>
      </rPr>
      <t>PLN</t>
    </r>
  </si>
  <si>
    <t>Liczba osób płatnych</t>
  </si>
  <si>
    <t>Liczba gratisów</t>
  </si>
  <si>
    <t>WYBÓR WALUTY</t>
  </si>
  <si>
    <t>KURS USD</t>
  </si>
  <si>
    <t>Ubezpieczenie EUR</t>
  </si>
  <si>
    <t>Ubezpieczenie USD</t>
  </si>
  <si>
    <t>ilość dni</t>
  </si>
  <si>
    <t>stawka/dzień</t>
  </si>
  <si>
    <t>ryczałt</t>
  </si>
  <si>
    <t>UKR</t>
  </si>
  <si>
    <t>NOTATKI do ceny</t>
  </si>
  <si>
    <t>LICZBA GRATISÓW KTÓRYCH KOSZTY MUSZĄ POKRYĆ UCZESTNICY</t>
  </si>
  <si>
    <t>PAKIET OD KONTRAHENTA</t>
  </si>
  <si>
    <t>cena 
za pilota</t>
  </si>
  <si>
    <t>opis pakietu</t>
  </si>
  <si>
    <t>przedział osób
pelnoplatni u kontrahenta</t>
  </si>
  <si>
    <t>cena/os.</t>
  </si>
  <si>
    <t xml:space="preserve"> liczba pax
platnych u nas</t>
  </si>
  <si>
    <t>chusty,dyplomy,identyfikatory</t>
  </si>
  <si>
    <t>autokar miejscowy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</si>
</sst>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zł&quot;_-;\-* #,##0.00\ &quot;zł&quot;_-;_-* &quot;-&quot;??\ &quot;zł&quot;_-;_-@_-"/>
    <numFmt numFmtId="164" formatCode="_-* #,##0.00\ [$zł-415]_-;\-* #,##0.00\ [$zł-415]_-;_-* &quot;-&quot;??\ [$zł-415]_-;_-@_-"/>
    <numFmt numFmtId="165" formatCode="_-[$€-2]\ * #,##0.00_-;\-[$€-2]\ * #,##0.00_-;_-[$€-2]\ * &quot;-&quot;??_-;_-@_-"/>
    <numFmt numFmtId="166" formatCode="#,##0.00\ &quot;zł&quot;"/>
  </numFmts>
  <fonts count="2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b/>
      <i/>
      <sz val="12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i/>
      <sz val="16"/>
      <color rgb="FFFF0000"/>
      <name val="Calibri"/>
      <family val="2"/>
      <charset val="238"/>
      <scheme val="minor"/>
    </font>
    <font>
      <b/>
      <u/>
      <sz val="11"/>
      <color rgb="FFFF0000"/>
      <name val="Calibri"/>
      <family val="2"/>
      <charset val="238"/>
      <scheme val="minor"/>
    </font>
    <font>
      <b/>
      <sz val="11"/>
      <color rgb="FF008000"/>
      <name val="Calibri"/>
      <family val="2"/>
      <charset val="238"/>
    </font>
    <font>
      <b/>
      <sz val="11"/>
      <color rgb="FF0000FF"/>
      <name val="Calibri"/>
      <family val="2"/>
      <charset val="238"/>
    </font>
    <font>
      <b/>
      <sz val="11"/>
      <color rgb="FF339966"/>
      <name val="Calibri"/>
      <family val="2"/>
      <charset val="238"/>
    </font>
    <font>
      <b/>
      <sz val="14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</font>
    <font>
      <b/>
      <u/>
      <sz val="12"/>
      <color rgb="FFFF0000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u/>
      <sz val="12"/>
      <color theme="1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u/>
      <sz val="14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i/>
      <sz val="11"/>
      <color rgb="FF0070C0"/>
      <name val="Calibri"/>
      <family val="2"/>
      <charset val="238"/>
      <scheme val="minor"/>
    </font>
    <font>
      <b/>
      <sz val="18"/>
      <color rgb="FFFF0000"/>
      <name val="Calibri"/>
      <family val="2"/>
      <charset val="238"/>
      <scheme val="minor"/>
    </font>
    <font>
      <b/>
      <sz val="20"/>
      <color rgb="FFFF0000"/>
      <name val="Calibri"/>
      <family val="2"/>
      <charset val="23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theme="0" tint="-0.14999847407452621"/>
      </top>
      <bottom/>
      <diagonal/>
    </border>
    <border>
      <left style="medium">
        <color indexed="64"/>
      </left>
      <right style="medium">
        <color indexed="64"/>
      </right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 tint="-0.14999847407452621"/>
      </left>
      <right/>
      <top/>
      <bottom/>
      <diagonal/>
    </border>
    <border>
      <left/>
      <right style="medium">
        <color theme="0" tint="-0.1499984740745262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250">
    <xf numFmtId="0" fontId="0" fillId="0" borderId="0" xfId="0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0" fillId="0" borderId="7" xfId="0" applyBorder="1" applyProtection="1">
      <protection locked="0"/>
    </xf>
    <xf numFmtId="165" fontId="0" fillId="0" borderId="0" xfId="0" applyNumberFormat="1" applyProtection="1">
      <protection locked="0"/>
    </xf>
    <xf numFmtId="165" fontId="0" fillId="0" borderId="7" xfId="0" applyNumberFormat="1" applyBorder="1" applyProtection="1">
      <protection locked="0"/>
    </xf>
    <xf numFmtId="164" fontId="0" fillId="0" borderId="7" xfId="0" applyNumberFormat="1" applyBorder="1" applyProtection="1">
      <protection locked="0"/>
    </xf>
    <xf numFmtId="0" fontId="2" fillId="8" borderId="1" xfId="0" applyFont="1" applyFill="1" applyBorder="1" applyProtection="1"/>
    <xf numFmtId="165" fontId="2" fillId="8" borderId="3" xfId="0" applyNumberFormat="1" applyFont="1" applyFill="1" applyBorder="1" applyProtection="1"/>
    <xf numFmtId="0" fontId="2" fillId="8" borderId="3" xfId="0" quotePrefix="1" applyFont="1" applyFill="1" applyBorder="1" applyProtection="1"/>
    <xf numFmtId="0" fontId="2" fillId="2" borderId="0" xfId="0" applyFont="1" applyFill="1" applyBorder="1" applyAlignment="1" applyProtection="1">
      <alignment vertical="center"/>
    </xf>
    <xf numFmtId="0" fontId="2" fillId="2" borderId="0" xfId="0" applyFont="1" applyFill="1" applyBorder="1" applyAlignment="1" applyProtection="1">
      <alignment horizontal="center" vertical="center"/>
    </xf>
    <xf numFmtId="0" fontId="2" fillId="2" borderId="7" xfId="0" applyFont="1" applyFill="1" applyBorder="1" applyAlignment="1" applyProtection="1">
      <alignment horizontal="center" vertical="center"/>
    </xf>
    <xf numFmtId="165" fontId="5" fillId="2" borderId="7" xfId="0" applyNumberFormat="1" applyFont="1" applyFill="1" applyBorder="1" applyProtection="1"/>
    <xf numFmtId="0" fontId="2" fillId="5" borderId="0" xfId="0" applyFont="1" applyFill="1" applyProtection="1"/>
    <xf numFmtId="0" fontId="0" fillId="0" borderId="11" xfId="0" applyBorder="1" applyAlignment="1" applyProtection="1">
      <alignment vertical="center"/>
    </xf>
    <xf numFmtId="0" fontId="0" fillId="0" borderId="11" xfId="0" applyBorder="1" applyAlignment="1" applyProtection="1">
      <alignment horizontal="center" vertical="center" wrapText="1"/>
    </xf>
    <xf numFmtId="0" fontId="0" fillId="3" borderId="16" xfId="0" applyFill="1" applyBorder="1" applyProtection="1"/>
    <xf numFmtId="165" fontId="5" fillId="11" borderId="0" xfId="0" applyNumberFormat="1" applyFont="1" applyFill="1" applyProtection="1">
      <protection hidden="1"/>
    </xf>
    <xf numFmtId="165" fontId="5" fillId="11" borderId="7" xfId="0" applyNumberFormat="1" applyFont="1" applyFill="1" applyBorder="1" applyProtection="1">
      <protection hidden="1"/>
    </xf>
    <xf numFmtId="164" fontId="5" fillId="11" borderId="0" xfId="0" applyNumberFormat="1" applyFont="1" applyFill="1" applyProtection="1">
      <protection hidden="1"/>
    </xf>
    <xf numFmtId="164" fontId="5" fillId="11" borderId="7" xfId="0" applyNumberFormat="1" applyFont="1" applyFill="1" applyBorder="1" applyProtection="1">
      <protection hidden="1"/>
    </xf>
    <xf numFmtId="0" fontId="0" fillId="0" borderId="0" xfId="0" applyProtection="1">
      <protection locked="0" hidden="1"/>
    </xf>
    <xf numFmtId="0" fontId="0" fillId="8" borderId="0" xfId="0" applyFill="1" applyBorder="1" applyAlignment="1" applyProtection="1">
      <alignment horizontal="left"/>
    </xf>
    <xf numFmtId="0" fontId="0" fillId="8" borderId="0" xfId="0" applyFill="1" applyBorder="1" applyAlignment="1" applyProtection="1">
      <alignment horizontal="center"/>
    </xf>
    <xf numFmtId="0" fontId="0" fillId="8" borderId="0" xfId="0" applyFill="1" applyAlignment="1" applyProtection="1">
      <alignment horizontal="left"/>
    </xf>
    <xf numFmtId="0" fontId="0" fillId="8" borderId="0" xfId="0" applyFill="1" applyProtection="1"/>
    <xf numFmtId="44" fontId="4" fillId="8" borderId="7" xfId="1" applyFont="1" applyFill="1" applyBorder="1" applyProtection="1"/>
    <xf numFmtId="0" fontId="0" fillId="8" borderId="0" xfId="0" applyFill="1" applyBorder="1" applyAlignment="1" applyProtection="1"/>
    <xf numFmtId="0" fontId="0" fillId="8" borderId="0" xfId="0" applyFont="1" applyFill="1" applyBorder="1" applyAlignment="1" applyProtection="1">
      <alignment horizontal="left"/>
    </xf>
    <xf numFmtId="0" fontId="3" fillId="8" borderId="0" xfId="0" applyFont="1" applyFill="1" applyBorder="1" applyAlignment="1" applyProtection="1">
      <alignment horizontal="center"/>
    </xf>
    <xf numFmtId="164" fontId="0" fillId="8" borderId="0" xfId="1" applyNumberFormat="1" applyFont="1" applyFill="1" applyBorder="1" applyAlignment="1" applyProtection="1"/>
    <xf numFmtId="44" fontId="0" fillId="8" borderId="10" xfId="1" applyFont="1" applyFill="1" applyBorder="1" applyAlignment="1" applyProtection="1"/>
    <xf numFmtId="44" fontId="0" fillId="8" borderId="0" xfId="1" applyFont="1" applyFill="1" applyBorder="1" applyAlignment="1" applyProtection="1"/>
    <xf numFmtId="0" fontId="0" fillId="8" borderId="0" xfId="0" applyFont="1" applyFill="1" applyBorder="1" applyAlignment="1" applyProtection="1"/>
    <xf numFmtId="44" fontId="0" fillId="8" borderId="7" xfId="1" applyFont="1" applyFill="1" applyBorder="1" applyProtection="1"/>
    <xf numFmtId="44" fontId="0" fillId="8" borderId="7" xfId="1" applyFont="1" applyFill="1" applyBorder="1" applyAlignment="1" applyProtection="1"/>
    <xf numFmtId="44" fontId="1" fillId="8" borderId="7" xfId="1" applyFont="1" applyFill="1" applyBorder="1" applyAlignment="1" applyProtection="1"/>
    <xf numFmtId="165" fontId="4" fillId="8" borderId="7" xfId="1" applyNumberFormat="1" applyFont="1" applyFill="1" applyBorder="1" applyAlignment="1" applyProtection="1"/>
    <xf numFmtId="164" fontId="0" fillId="8" borderId="14" xfId="0" applyNumberFormat="1" applyFill="1" applyBorder="1" applyProtection="1"/>
    <xf numFmtId="166" fontId="0" fillId="8" borderId="14" xfId="0" applyNumberFormat="1" applyFill="1" applyBorder="1" applyProtection="1"/>
    <xf numFmtId="1" fontId="0" fillId="8" borderId="14" xfId="0" applyNumberFormat="1" applyFill="1" applyBorder="1" applyAlignment="1" applyProtection="1">
      <alignment horizontal="center"/>
    </xf>
    <xf numFmtId="1" fontId="0" fillId="8" borderId="21" xfId="0" applyNumberFormat="1" applyFill="1" applyBorder="1" applyAlignment="1" applyProtection="1">
      <alignment horizontal="center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0" fontId="0" fillId="4" borderId="3" xfId="0" applyFill="1" applyBorder="1" applyAlignment="1" applyProtection="1">
      <alignment horizontal="center"/>
      <protection locked="0"/>
    </xf>
    <xf numFmtId="44" fontId="0" fillId="4" borderId="2" xfId="1" applyFont="1" applyFill="1" applyBorder="1" applyProtection="1">
      <protection locked="0"/>
    </xf>
    <xf numFmtId="1" fontId="0" fillId="0" borderId="0" xfId="1" applyNumberFormat="1" applyFont="1" applyBorder="1" applyAlignment="1" applyProtection="1">
      <alignment horizontal="center"/>
      <protection locked="0"/>
    </xf>
    <xf numFmtId="44" fontId="4" fillId="0" borderId="7" xfId="1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44" fontId="0" fillId="0" borderId="0" xfId="1" applyFont="1" applyFill="1" applyBorder="1" applyAlignment="1" applyProtection="1">
      <protection locked="0"/>
    </xf>
    <xf numFmtId="1" fontId="0" fillId="0" borderId="0" xfId="1" applyNumberFormat="1" applyFont="1" applyFill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left"/>
      <protection locked="0"/>
    </xf>
    <xf numFmtId="0" fontId="3" fillId="0" borderId="0" xfId="0" applyFont="1" applyBorder="1" applyAlignment="1" applyProtection="1">
      <alignment horizontal="center"/>
      <protection locked="0"/>
    </xf>
    <xf numFmtId="44" fontId="0" fillId="0" borderId="7" xfId="1" applyFont="1" applyBorder="1" applyProtection="1">
      <protection locked="0"/>
    </xf>
    <xf numFmtId="0" fontId="0" fillId="0" borderId="0" xfId="0" applyFont="1" applyBorder="1" applyAlignment="1" applyProtection="1">
      <protection locked="0"/>
    </xf>
    <xf numFmtId="0" fontId="3" fillId="0" borderId="0" xfId="0" applyFont="1" applyBorder="1" applyAlignment="1" applyProtection="1">
      <alignment horizontal="left"/>
      <protection locked="0"/>
    </xf>
    <xf numFmtId="44" fontId="0" fillId="0" borderId="0" xfId="1" applyFont="1" applyBorder="1" applyAlignment="1" applyProtection="1">
      <protection locked="0"/>
    </xf>
    <xf numFmtId="44" fontId="0" fillId="0" borderId="10" xfId="1" applyFont="1" applyBorder="1" applyAlignment="1" applyProtection="1">
      <protection locked="0"/>
    </xf>
    <xf numFmtId="0" fontId="0" fillId="0" borderId="0" xfId="0" applyFont="1" applyBorder="1" applyAlignment="1" applyProtection="1">
      <alignment horizontal="center"/>
      <protection locked="0"/>
    </xf>
    <xf numFmtId="44" fontId="1" fillId="0" borderId="7" xfId="1" applyFont="1" applyBorder="1" applyProtection="1">
      <protection locked="0"/>
    </xf>
    <xf numFmtId="44" fontId="1" fillId="0" borderId="0" xfId="1" applyFont="1" applyBorder="1" applyAlignment="1" applyProtection="1">
      <protection locked="0"/>
    </xf>
    <xf numFmtId="44" fontId="1" fillId="0" borderId="10" xfId="1" applyFont="1" applyBorder="1" applyAlignment="1" applyProtection="1">
      <protection locked="0"/>
    </xf>
    <xf numFmtId="1" fontId="1" fillId="0" borderId="0" xfId="1" applyNumberFormat="1" applyFont="1" applyBorder="1" applyAlignment="1" applyProtection="1">
      <alignment horizontal="center"/>
      <protection locked="0"/>
    </xf>
    <xf numFmtId="0" fontId="0" fillId="0" borderId="0" xfId="0" applyNumberFormat="1" applyFont="1" applyBorder="1" applyAlignment="1" applyProtection="1">
      <alignment horizontal="left"/>
      <protection locked="0"/>
    </xf>
    <xf numFmtId="0" fontId="0" fillId="0" borderId="9" xfId="0" applyFill="1" applyBorder="1" applyProtection="1">
      <protection locked="0"/>
    </xf>
    <xf numFmtId="0" fontId="4" fillId="0" borderId="0" xfId="0" applyFont="1" applyAlignment="1" applyProtection="1">
      <alignment horizontal="left"/>
      <protection locked="0"/>
    </xf>
    <xf numFmtId="0" fontId="4" fillId="0" borderId="0" xfId="0" applyFont="1" applyProtection="1">
      <protection locked="0"/>
    </xf>
    <xf numFmtId="165" fontId="4" fillId="0" borderId="7" xfId="1" applyNumberFormat="1" applyFont="1" applyBorder="1" applyProtection="1">
      <protection locked="0"/>
    </xf>
    <xf numFmtId="0" fontId="4" fillId="0" borderId="0" xfId="0" applyFont="1" applyBorder="1" applyAlignment="1" applyProtection="1">
      <protection locked="0"/>
    </xf>
    <xf numFmtId="0" fontId="4" fillId="0" borderId="0" xfId="0" applyFont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horizontal="left"/>
      <protection locked="0"/>
    </xf>
    <xf numFmtId="165" fontId="4" fillId="0" borderId="0" xfId="1" applyNumberFormat="1" applyFont="1" applyBorder="1" applyAlignment="1" applyProtection="1">
      <protection locked="0"/>
    </xf>
    <xf numFmtId="1" fontId="4" fillId="0" borderId="0" xfId="1" applyNumberFormat="1" applyFont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left"/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165" fontId="4" fillId="0" borderId="7" xfId="1" applyNumberFormat="1" applyFont="1" applyFill="1" applyBorder="1" applyProtection="1">
      <protection locked="0"/>
    </xf>
    <xf numFmtId="0" fontId="4" fillId="0" borderId="0" xfId="0" applyFont="1" applyFill="1" applyBorder="1" applyAlignment="1" applyProtection="1">
      <protection locked="0"/>
    </xf>
    <xf numFmtId="165" fontId="4" fillId="0" borderId="0" xfId="1" applyNumberFormat="1" applyFont="1" applyFill="1" applyBorder="1" applyAlignment="1" applyProtection="1">
      <protection locked="0"/>
    </xf>
    <xf numFmtId="1" fontId="4" fillId="0" borderId="0" xfId="1" applyNumberFormat="1" applyFont="1" applyFill="1" applyBorder="1" applyAlignment="1" applyProtection="1">
      <alignment horizontal="center" vertical="center"/>
      <protection locked="0"/>
    </xf>
    <xf numFmtId="44" fontId="4" fillId="0" borderId="0" xfId="1" applyFont="1" applyFill="1" applyBorder="1" applyAlignment="1" applyProtection="1">
      <protection locked="0"/>
    </xf>
    <xf numFmtId="0" fontId="4" fillId="0" borderId="10" xfId="0" applyFont="1" applyFill="1" applyBorder="1" applyAlignment="1" applyProtection="1">
      <protection locked="0"/>
    </xf>
    <xf numFmtId="0" fontId="4" fillId="0" borderId="10" xfId="0" applyFont="1" applyFill="1" applyBorder="1" applyAlignment="1" applyProtection="1">
      <alignment horizontal="left"/>
      <protection locked="0"/>
    </xf>
    <xf numFmtId="44" fontId="4" fillId="0" borderId="10" xfId="1" applyFont="1" applyFill="1" applyBorder="1" applyAlignment="1" applyProtection="1">
      <protection locked="0"/>
    </xf>
    <xf numFmtId="165" fontId="2" fillId="5" borderId="0" xfId="0" applyNumberFormat="1" applyFont="1" applyFill="1" applyProtection="1">
      <protection locked="0"/>
    </xf>
    <xf numFmtId="0" fontId="0" fillId="0" borderId="11" xfId="0" applyBorder="1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 wrapText="1"/>
      <protection locked="0"/>
    </xf>
    <xf numFmtId="1" fontId="0" fillId="4" borderId="14" xfId="0" applyNumberFormat="1" applyFill="1" applyBorder="1" applyAlignment="1" applyProtection="1">
      <alignment horizontal="center"/>
      <protection locked="0"/>
    </xf>
    <xf numFmtId="164" fontId="0" fillId="4" borderId="14" xfId="0" applyNumberFormat="1" applyFill="1" applyBorder="1" applyProtection="1">
      <protection locked="0"/>
    </xf>
    <xf numFmtId="166" fontId="0" fillId="3" borderId="14" xfId="0" applyNumberFormat="1" applyFill="1" applyBorder="1" applyProtection="1">
      <protection locked="0"/>
    </xf>
    <xf numFmtId="44" fontId="0" fillId="4" borderId="14" xfId="1" applyFont="1" applyFill="1" applyBorder="1" applyProtection="1">
      <protection locked="0"/>
    </xf>
    <xf numFmtId="166" fontId="0" fillId="3" borderId="15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0" fontId="0" fillId="0" borderId="17" xfId="0" applyBorder="1" applyProtection="1">
      <protection locked="0"/>
    </xf>
    <xf numFmtId="44" fontId="0" fillId="4" borderId="21" xfId="1" applyFont="1" applyFill="1" applyBorder="1" applyProtection="1">
      <protection locked="0"/>
    </xf>
    <xf numFmtId="0" fontId="0" fillId="0" borderId="9" xfId="0" applyBorder="1" applyProtection="1">
      <protection hidden="1"/>
    </xf>
    <xf numFmtId="0" fontId="7" fillId="6" borderId="9" xfId="0" applyFont="1" applyFill="1" applyBorder="1" applyProtection="1">
      <protection hidden="1"/>
    </xf>
    <xf numFmtId="0" fontId="7" fillId="6" borderId="12" xfId="0" applyFont="1" applyFill="1" applyBorder="1" applyProtection="1">
      <protection hidden="1"/>
    </xf>
    <xf numFmtId="0" fontId="5" fillId="11" borderId="0" xfId="0" applyFont="1" applyFill="1" applyProtection="1">
      <protection hidden="1"/>
    </xf>
    <xf numFmtId="0" fontId="5" fillId="11" borderId="7" xfId="0" applyFont="1" applyFill="1" applyBorder="1" applyProtection="1">
      <protection hidden="1"/>
    </xf>
    <xf numFmtId="0" fontId="0" fillId="0" borderId="0" xfId="0" applyFill="1" applyBorder="1" applyProtection="1">
      <protection locked="0"/>
    </xf>
    <xf numFmtId="0" fontId="0" fillId="10" borderId="0" xfId="0" applyFill="1" applyProtection="1">
      <protection locked="0"/>
    </xf>
    <xf numFmtId="0" fontId="11" fillId="10" borderId="0" xfId="0" applyFont="1" applyFill="1" applyBorder="1" applyProtection="1">
      <protection locked="0"/>
    </xf>
    <xf numFmtId="0" fontId="9" fillId="10" borderId="0" xfId="0" applyFont="1" applyFill="1" applyBorder="1" applyProtection="1">
      <protection locked="0"/>
    </xf>
    <xf numFmtId="0" fontId="0" fillId="10" borderId="5" xfId="0" applyFill="1" applyBorder="1" applyProtection="1">
      <protection locked="0"/>
    </xf>
    <xf numFmtId="0" fontId="0" fillId="10" borderId="4" xfId="0" applyFill="1" applyBorder="1" applyProtection="1">
      <protection locked="0"/>
    </xf>
    <xf numFmtId="0" fontId="0" fillId="10" borderId="6" xfId="0" applyFill="1" applyBorder="1" applyProtection="1">
      <protection locked="0"/>
    </xf>
    <xf numFmtId="0" fontId="0" fillId="10" borderId="10" xfId="0" applyFill="1" applyBorder="1" applyProtection="1">
      <protection locked="0"/>
    </xf>
    <xf numFmtId="0" fontId="0" fillId="10" borderId="0" xfId="0" applyFill="1" applyBorder="1" applyProtection="1">
      <protection locked="0"/>
    </xf>
    <xf numFmtId="0" fontId="0" fillId="10" borderId="7" xfId="0" applyFill="1" applyBorder="1" applyProtection="1">
      <protection locked="0"/>
    </xf>
    <xf numFmtId="0" fontId="8" fillId="10" borderId="0" xfId="0" applyFont="1" applyFill="1" applyBorder="1" applyProtection="1">
      <protection locked="0"/>
    </xf>
    <xf numFmtId="0" fontId="8" fillId="10" borderId="7" xfId="0" applyFont="1" applyFill="1" applyBorder="1" applyProtection="1">
      <protection locked="0"/>
    </xf>
    <xf numFmtId="1" fontId="0" fillId="4" borderId="6" xfId="0" applyNumberFormat="1" applyFill="1" applyBorder="1" applyProtection="1">
      <protection locked="0"/>
    </xf>
    <xf numFmtId="9" fontId="0" fillId="4" borderId="7" xfId="2" applyFont="1" applyFill="1" applyBorder="1" applyProtection="1">
      <protection locked="0"/>
    </xf>
    <xf numFmtId="164" fontId="0" fillId="4" borderId="7" xfId="0" applyNumberFormat="1" applyFill="1" applyBorder="1" applyProtection="1">
      <protection locked="0"/>
    </xf>
    <xf numFmtId="0" fontId="0" fillId="10" borderId="8" xfId="0" applyFill="1" applyBorder="1" applyProtection="1">
      <protection locked="0"/>
    </xf>
    <xf numFmtId="0" fontId="0" fillId="10" borderId="9" xfId="0" applyFill="1" applyBorder="1" applyProtection="1">
      <protection locked="0"/>
    </xf>
    <xf numFmtId="0" fontId="0" fillId="10" borderId="12" xfId="0" applyFill="1" applyBorder="1" applyProtection="1">
      <protection locked="0"/>
    </xf>
    <xf numFmtId="2" fontId="0" fillId="12" borderId="7" xfId="2" applyNumberFormat="1" applyFont="1" applyFill="1" applyBorder="1" applyProtection="1"/>
    <xf numFmtId="164" fontId="0" fillId="12" borderId="12" xfId="0" applyNumberFormat="1" applyFill="1" applyBorder="1" applyProtection="1"/>
    <xf numFmtId="0" fontId="0" fillId="12" borderId="5" xfId="0" applyFill="1" applyBorder="1" applyProtection="1"/>
    <xf numFmtId="0" fontId="0" fillId="12" borderId="10" xfId="0" quotePrefix="1" applyFill="1" applyBorder="1" applyProtection="1"/>
    <xf numFmtId="0" fontId="0" fillId="12" borderId="10" xfId="0" applyFill="1" applyBorder="1" applyProtection="1"/>
    <xf numFmtId="0" fontId="0" fillId="12" borderId="8" xfId="0" applyFill="1" applyBorder="1" applyProtection="1"/>
    <xf numFmtId="0" fontId="10" fillId="0" borderId="0" xfId="3" applyAlignment="1" applyProtection="1">
      <alignment horizontal="center"/>
      <protection hidden="1"/>
    </xf>
    <xf numFmtId="0" fontId="10" fillId="0" borderId="0" xfId="3" applyAlignment="1" applyProtection="1">
      <alignment horizontal="center"/>
      <protection hidden="1"/>
    </xf>
    <xf numFmtId="0" fontId="19" fillId="0" borderId="22" xfId="3" applyFont="1" applyBorder="1" applyAlignment="1" applyProtection="1">
      <alignment vertical="center"/>
      <protection locked="0"/>
    </xf>
    <xf numFmtId="0" fontId="19" fillId="0" borderId="0" xfId="3" applyFont="1" applyBorder="1" applyAlignment="1" applyProtection="1">
      <alignment vertical="center"/>
      <protection locked="0"/>
    </xf>
    <xf numFmtId="0" fontId="20" fillId="12" borderId="0" xfId="0" applyFont="1" applyFill="1" applyProtection="1"/>
    <xf numFmtId="14" fontId="20" fillId="12" borderId="0" xfId="0" applyNumberFormat="1" applyFont="1" applyFill="1" applyProtection="1"/>
    <xf numFmtId="0" fontId="0" fillId="8" borderId="0" xfId="0" applyFont="1" applyFill="1" applyBorder="1" applyAlignment="1" applyProtection="1">
      <alignment horizontal="center"/>
    </xf>
    <xf numFmtId="0" fontId="12" fillId="0" borderId="0" xfId="0" applyFont="1" applyAlignment="1" applyProtection="1">
      <alignment horizontal="center"/>
      <protection locked="0"/>
    </xf>
    <xf numFmtId="164" fontId="0" fillId="8" borderId="14" xfId="0" applyNumberFormat="1" applyFill="1" applyBorder="1" applyProtection="1">
      <protection locked="0"/>
    </xf>
    <xf numFmtId="165" fontId="0" fillId="8" borderId="14" xfId="0" applyNumberFormat="1" applyFill="1" applyBorder="1" applyProtection="1"/>
    <xf numFmtId="165" fontId="0" fillId="4" borderId="14" xfId="1" applyNumberFormat="1" applyFont="1" applyFill="1" applyBorder="1" applyProtection="1">
      <protection locked="0"/>
    </xf>
    <xf numFmtId="165" fontId="0" fillId="4" borderId="21" xfId="1" applyNumberFormat="1" applyFont="1" applyFill="1" applyBorder="1" applyProtection="1">
      <protection locked="0"/>
    </xf>
    <xf numFmtId="1" fontId="0" fillId="4" borderId="6" xfId="0" applyNumberFormat="1" applyFill="1" applyBorder="1" applyAlignment="1" applyProtection="1">
      <alignment horizontal="center"/>
      <protection locked="0"/>
    </xf>
    <xf numFmtId="1" fontId="0" fillId="4" borderId="12" xfId="0" applyNumberFormat="1" applyFill="1" applyBorder="1" applyAlignment="1" applyProtection="1">
      <alignment horizontal="center"/>
      <protection locked="0"/>
    </xf>
    <xf numFmtId="165" fontId="22" fillId="2" borderId="7" xfId="0" applyNumberFormat="1" applyFont="1" applyFill="1" applyBorder="1" applyProtection="1"/>
    <xf numFmtId="0" fontId="0" fillId="8" borderId="1" xfId="0" applyFill="1" applyBorder="1" applyAlignment="1" applyProtection="1">
      <alignment horizontal="center" vertical="center" wrapText="1"/>
    </xf>
    <xf numFmtId="164" fontId="0" fillId="8" borderId="23" xfId="0" applyNumberFormat="1" applyFill="1" applyBorder="1" applyAlignment="1" applyProtection="1">
      <alignment vertical="center"/>
    </xf>
    <xf numFmtId="164" fontId="0" fillId="4" borderId="3" xfId="0" applyNumberFormat="1" applyFill="1" applyBorder="1" applyAlignment="1" applyProtection="1">
      <alignment vertical="center"/>
      <protection locked="0"/>
    </xf>
    <xf numFmtId="0" fontId="20" fillId="0" borderId="0" xfId="0" applyFont="1" applyFill="1" applyProtection="1"/>
    <xf numFmtId="14" fontId="20" fillId="0" borderId="0" xfId="0" applyNumberFormat="1" applyFont="1" applyFill="1" applyProtection="1"/>
    <xf numFmtId="0" fontId="0" fillId="0" borderId="0" xfId="0" applyProtection="1">
      <protection locked="0"/>
    </xf>
    <xf numFmtId="0" fontId="5" fillId="2" borderId="0" xfId="0" applyFont="1" applyFill="1" applyAlignment="1" applyProtection="1">
      <alignment horizontal="left"/>
    </xf>
    <xf numFmtId="0" fontId="5" fillId="2" borderId="0" xfId="0" applyFont="1" applyFill="1" applyProtection="1"/>
    <xf numFmtId="0" fontId="6" fillId="2" borderId="0" xfId="0" applyFont="1" applyFill="1" applyAlignment="1" applyProtection="1">
      <alignment horizontal="center"/>
    </xf>
    <xf numFmtId="0" fontId="5" fillId="2" borderId="0" xfId="0" applyFont="1" applyFill="1" applyBorder="1" applyProtection="1"/>
    <xf numFmtId="165" fontId="7" fillId="2" borderId="0" xfId="0" applyNumberFormat="1" applyFont="1" applyFill="1" applyBorder="1" applyProtection="1"/>
    <xf numFmtId="2" fontId="7" fillId="2" borderId="0" xfId="0" applyNumberFormat="1" applyFont="1" applyFill="1" applyBorder="1" applyAlignment="1" applyProtection="1">
      <alignment horizontal="center" vertical="center"/>
    </xf>
    <xf numFmtId="164" fontId="0" fillId="4" borderId="3" xfId="0" applyNumberFormat="1" applyFill="1" applyBorder="1" applyProtection="1">
      <protection locked="0"/>
    </xf>
    <xf numFmtId="0" fontId="2" fillId="13" borderId="8" xfId="0" applyFont="1" applyFill="1" applyBorder="1" applyAlignment="1" applyProtection="1">
      <alignment vertical="center"/>
    </xf>
    <xf numFmtId="0" fontId="2" fillId="13" borderId="9" xfId="0" applyFont="1" applyFill="1" applyBorder="1" applyAlignment="1" applyProtection="1">
      <alignment horizontal="center" vertical="center"/>
    </xf>
    <xf numFmtId="0" fontId="2" fillId="13" borderId="12" xfId="0" applyFont="1" applyFill="1" applyBorder="1" applyAlignment="1" applyProtection="1">
      <alignment horizontal="center" vertical="center"/>
    </xf>
    <xf numFmtId="0" fontId="5" fillId="13" borderId="0" xfId="0" applyFont="1" applyFill="1" applyAlignment="1" applyProtection="1">
      <alignment horizontal="left"/>
      <protection locked="0"/>
    </xf>
    <xf numFmtId="0" fontId="5" fillId="13" borderId="0" xfId="0" applyFont="1" applyFill="1" applyProtection="1">
      <protection locked="0"/>
    </xf>
    <xf numFmtId="44" fontId="5" fillId="13" borderId="7" xfId="0" applyNumberFormat="1" applyFont="1" applyFill="1" applyBorder="1" applyProtection="1">
      <protection locked="0"/>
    </xf>
    <xf numFmtId="0" fontId="5" fillId="13" borderId="0" xfId="0" applyFont="1" applyFill="1" applyAlignment="1" applyProtection="1">
      <protection locked="0"/>
    </xf>
    <xf numFmtId="0" fontId="6" fillId="13" borderId="0" xfId="0" applyFont="1" applyFill="1" applyAlignment="1" applyProtection="1">
      <alignment horizontal="center"/>
      <protection locked="0"/>
    </xf>
    <xf numFmtId="44" fontId="5" fillId="13" borderId="0" xfId="0" applyNumberFormat="1" applyFont="1" applyFill="1" applyBorder="1" applyAlignment="1" applyProtection="1">
      <protection locked="0"/>
    </xf>
    <xf numFmtId="0" fontId="5" fillId="13" borderId="10" xfId="0" applyFont="1" applyFill="1" applyBorder="1" applyProtection="1">
      <protection locked="0"/>
    </xf>
    <xf numFmtId="44" fontId="5" fillId="13" borderId="0" xfId="0" applyNumberFormat="1" applyFont="1" applyFill="1" applyBorder="1" applyProtection="1">
      <protection locked="0"/>
    </xf>
    <xf numFmtId="0" fontId="5" fillId="13" borderId="0" xfId="0" applyFont="1" applyFill="1" applyBorder="1" applyProtection="1">
      <protection locked="0"/>
    </xf>
    <xf numFmtId="165" fontId="4" fillId="0" borderId="7" xfId="1" applyNumberFormat="1" applyFont="1" applyBorder="1" applyAlignment="1" applyProtection="1">
      <alignment horizontal="right"/>
      <protection locked="0"/>
    </xf>
    <xf numFmtId="165" fontId="4" fillId="0" borderId="7" xfId="1" applyNumberFormat="1" applyFont="1" applyFill="1" applyBorder="1" applyAlignment="1" applyProtection="1">
      <alignment horizontal="right"/>
      <protection locked="0"/>
    </xf>
    <xf numFmtId="165" fontId="5" fillId="2" borderId="7" xfId="0" applyNumberFormat="1" applyFont="1" applyFill="1" applyBorder="1" applyAlignment="1" applyProtection="1">
      <alignment horizontal="right"/>
    </xf>
    <xf numFmtId="0" fontId="10" fillId="10" borderId="0" xfId="3" applyFill="1" applyBorder="1" applyAlignment="1" applyProtection="1">
      <alignment horizontal="center"/>
    </xf>
    <xf numFmtId="2" fontId="0" fillId="4" borderId="6" xfId="0" applyNumberFormat="1" applyFill="1" applyBorder="1" applyProtection="1">
      <protection locked="0"/>
    </xf>
    <xf numFmtId="166" fontId="0" fillId="4" borderId="7" xfId="0" applyNumberFormat="1" applyFill="1" applyBorder="1" applyProtection="1">
      <protection locked="0"/>
    </xf>
    <xf numFmtId="166" fontId="0" fillId="4" borderId="12" xfId="0" applyNumberFormat="1" applyFill="1" applyBorder="1" applyProtection="1">
      <protection locked="0"/>
    </xf>
    <xf numFmtId="0" fontId="0" fillId="10" borderId="0" xfId="0" applyNumberFormat="1" applyFill="1" applyProtection="1">
      <protection locked="0"/>
    </xf>
    <xf numFmtId="0" fontId="26" fillId="10" borderId="0" xfId="0" applyFont="1" applyFill="1" applyBorder="1" applyAlignment="1" applyProtection="1">
      <protection locked="0"/>
    </xf>
    <xf numFmtId="0" fontId="0" fillId="0" borderId="13" xfId="0" applyBorder="1" applyAlignment="1" applyProtection="1">
      <alignment horizontal="center" vertical="center" wrapText="1"/>
    </xf>
    <xf numFmtId="44" fontId="0" fillId="8" borderId="24" xfId="1" applyFont="1" applyFill="1" applyBorder="1" applyProtection="1"/>
    <xf numFmtId="0" fontId="0" fillId="4" borderId="3" xfId="0" applyFill="1" applyBorder="1" applyAlignment="1" applyProtection="1">
      <alignment horizontal="center" vertical="center"/>
      <protection locked="0" hidden="1"/>
    </xf>
    <xf numFmtId="166" fontId="0" fillId="12" borderId="12" xfId="0" applyNumberFormat="1" applyFill="1" applyBorder="1" applyProtection="1"/>
    <xf numFmtId="0" fontId="24" fillId="14" borderId="1" xfId="0" applyFont="1" applyFill="1" applyBorder="1" applyProtection="1">
      <protection hidden="1"/>
    </xf>
    <xf numFmtId="0" fontId="24" fillId="14" borderId="2" xfId="0" applyFont="1" applyFill="1" applyBorder="1" applyProtection="1">
      <protection hidden="1"/>
    </xf>
    <xf numFmtId="0" fontId="0" fillId="0" borderId="11" xfId="0" applyBorder="1" applyAlignment="1" applyProtection="1">
      <alignment horizontal="center" vertical="center"/>
    </xf>
    <xf numFmtId="49" fontId="0" fillId="4" borderId="13" xfId="0" applyNumberFormat="1" applyFill="1" applyBorder="1" applyAlignment="1" applyProtection="1">
      <alignment horizontal="center"/>
      <protection locked="0"/>
    </xf>
    <xf numFmtId="49" fontId="0" fillId="4" borderId="14" xfId="0" applyNumberFormat="1" applyFill="1" applyBorder="1" applyAlignment="1" applyProtection="1">
      <alignment horizontal="center"/>
      <protection locked="0"/>
    </xf>
    <xf numFmtId="49" fontId="0" fillId="4" borderId="21" xfId="0" applyNumberFormat="1" applyFill="1" applyBorder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165" fontId="0" fillId="0" borderId="13" xfId="0" applyNumberFormat="1" applyFill="1" applyBorder="1" applyAlignment="1" applyProtection="1">
      <alignment horizontal="center"/>
      <protection locked="0"/>
    </xf>
    <xf numFmtId="165" fontId="0" fillId="0" borderId="13" xfId="0" applyNumberFormat="1" applyFill="1" applyBorder="1" applyProtection="1">
      <protection locked="0"/>
    </xf>
    <xf numFmtId="165" fontId="0" fillId="0" borderId="14" xfId="0" applyNumberFormat="1" applyFill="1" applyBorder="1" applyAlignment="1" applyProtection="1">
      <alignment horizontal="center"/>
      <protection locked="0"/>
    </xf>
    <xf numFmtId="165" fontId="0" fillId="0" borderId="14" xfId="0" applyNumberFormat="1" applyFill="1" applyBorder="1" applyProtection="1">
      <protection locked="0"/>
    </xf>
    <xf numFmtId="165" fontId="0" fillId="0" borderId="21" xfId="0" applyNumberFormat="1" applyFill="1" applyBorder="1" applyAlignment="1" applyProtection="1">
      <alignment horizontal="center"/>
      <protection locked="0"/>
    </xf>
    <xf numFmtId="165" fontId="0" fillId="0" borderId="21" xfId="0" applyNumberFormat="1" applyFill="1" applyBorder="1" applyProtection="1">
      <protection locked="0"/>
    </xf>
    <xf numFmtId="49" fontId="0" fillId="8" borderId="7" xfId="0" applyNumberFormat="1" applyFill="1" applyBorder="1" applyAlignment="1" applyProtection="1">
      <alignment horizontal="center"/>
    </xf>
    <xf numFmtId="0" fontId="12" fillId="0" borderId="0" xfId="0" applyFont="1" applyAlignment="1" applyProtection="1">
      <alignment horizontal="center"/>
      <protection locked="0"/>
    </xf>
    <xf numFmtId="0" fontId="2" fillId="8" borderId="1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center"/>
    </xf>
    <xf numFmtId="0" fontId="5" fillId="5" borderId="18" xfId="0" applyFont="1" applyFill="1" applyBorder="1" applyAlignment="1" applyProtection="1">
      <alignment horizontal="center" vertical="center"/>
      <protection locked="0"/>
    </xf>
    <xf numFmtId="0" fontId="5" fillId="5" borderId="20" xfId="0" applyFont="1" applyFill="1" applyBorder="1" applyAlignment="1" applyProtection="1">
      <alignment horizontal="center" vertical="center"/>
      <protection locked="0"/>
    </xf>
    <xf numFmtId="0" fontId="0" fillId="5" borderId="20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2" fillId="8" borderId="1" xfId="1" applyNumberFormat="1" applyFont="1" applyFill="1" applyBorder="1" applyAlignment="1" applyProtection="1">
      <alignment horizontal="center"/>
    </xf>
    <xf numFmtId="0" fontId="2" fillId="8" borderId="2" xfId="1" applyNumberFormat="1" applyFont="1" applyFill="1" applyBorder="1" applyAlignment="1" applyProtection="1">
      <alignment horizontal="center"/>
    </xf>
    <xf numFmtId="0" fontId="17" fillId="8" borderId="1" xfId="0" applyFont="1" applyFill="1" applyBorder="1" applyAlignment="1" applyProtection="1">
      <alignment horizontal="center"/>
      <protection locked="0"/>
    </xf>
    <xf numFmtId="0" fontId="17" fillId="8" borderId="2" xfId="0" applyFont="1" applyFill="1" applyBorder="1" applyAlignment="1" applyProtection="1">
      <alignment horizontal="center"/>
      <protection locked="0"/>
    </xf>
    <xf numFmtId="0" fontId="19" fillId="0" borderId="0" xfId="3" applyFont="1" applyBorder="1" applyAlignment="1" applyProtection="1">
      <alignment horizontal="center" vertical="center"/>
      <protection locked="0"/>
    </xf>
    <xf numFmtId="0" fontId="2" fillId="8" borderId="8" xfId="0" applyFont="1" applyFill="1" applyBorder="1" applyAlignment="1" applyProtection="1">
      <alignment horizontal="center"/>
    </xf>
    <xf numFmtId="0" fontId="2" fillId="8" borderId="9" xfId="0" applyFont="1" applyFill="1" applyBorder="1" applyAlignment="1" applyProtection="1">
      <alignment horizontal="center"/>
    </xf>
    <xf numFmtId="0" fontId="2" fillId="8" borderId="5" xfId="0" applyFont="1" applyFill="1" applyBorder="1" applyAlignment="1" applyProtection="1">
      <alignment horizontal="center"/>
    </xf>
    <xf numFmtId="0" fontId="2" fillId="8" borderId="4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/>
      <protection locked="0"/>
    </xf>
    <xf numFmtId="0" fontId="2" fillId="0" borderId="2" xfId="0" applyFont="1" applyFill="1" applyBorder="1" applyAlignment="1" applyProtection="1">
      <alignment horizontal="center"/>
      <protection locked="0"/>
    </xf>
    <xf numFmtId="0" fontId="13" fillId="7" borderId="5" xfId="3" applyFont="1" applyFill="1" applyBorder="1" applyAlignment="1" applyProtection="1">
      <alignment horizontal="center" vertical="center"/>
      <protection locked="0"/>
    </xf>
    <xf numFmtId="0" fontId="13" fillId="7" borderId="4" xfId="3" applyFont="1" applyFill="1" applyBorder="1" applyAlignment="1" applyProtection="1">
      <alignment horizontal="center" vertical="center"/>
      <protection locked="0"/>
    </xf>
    <xf numFmtId="0" fontId="13" fillId="7" borderId="6" xfId="3" applyFont="1" applyFill="1" applyBorder="1" applyAlignment="1" applyProtection="1">
      <alignment horizontal="center" vertical="center"/>
      <protection locked="0"/>
    </xf>
    <xf numFmtId="0" fontId="13" fillId="7" borderId="8" xfId="3" applyFont="1" applyFill="1" applyBorder="1" applyAlignment="1" applyProtection="1">
      <alignment horizontal="center" vertical="center"/>
      <protection locked="0"/>
    </xf>
    <xf numFmtId="0" fontId="13" fillId="7" borderId="9" xfId="3" applyFont="1" applyFill="1" applyBorder="1" applyAlignment="1" applyProtection="1">
      <alignment horizontal="center" vertical="center"/>
      <protection locked="0"/>
    </xf>
    <xf numFmtId="0" fontId="13" fillId="7" borderId="12" xfId="3" applyFont="1" applyFill="1" applyBorder="1" applyAlignment="1" applyProtection="1">
      <alignment horizontal="center" vertical="center"/>
      <protection locked="0"/>
    </xf>
    <xf numFmtId="0" fontId="2" fillId="13" borderId="5" xfId="0" applyFont="1" applyFill="1" applyBorder="1" applyAlignment="1" applyProtection="1">
      <alignment horizontal="center" vertical="center"/>
    </xf>
    <xf numFmtId="0" fontId="2" fillId="13" borderId="4" xfId="0" applyFont="1" applyFill="1" applyBorder="1" applyAlignment="1" applyProtection="1">
      <alignment horizontal="center" vertical="center"/>
    </xf>
    <xf numFmtId="0" fontId="2" fillId="13" borderId="6" xfId="0" applyFont="1" applyFill="1" applyBorder="1" applyAlignment="1" applyProtection="1">
      <alignment horizontal="center" vertical="center"/>
    </xf>
    <xf numFmtId="0" fontId="5" fillId="13" borderId="1" xfId="0" applyFont="1" applyFill="1" applyBorder="1" applyAlignment="1" applyProtection="1">
      <alignment horizontal="center"/>
    </xf>
    <xf numFmtId="0" fontId="5" fillId="13" borderId="2" xfId="0" applyFont="1" applyFill="1" applyBorder="1" applyAlignment="1" applyProtection="1">
      <alignment horizontal="center"/>
    </xf>
    <xf numFmtId="0" fontId="5" fillId="13" borderId="3" xfId="0" applyFont="1" applyFill="1" applyBorder="1" applyAlignment="1" applyProtection="1">
      <alignment horizontal="center"/>
    </xf>
    <xf numFmtId="0" fontId="2" fillId="2" borderId="0" xfId="0" applyFont="1" applyFill="1" applyBorder="1" applyAlignment="1" applyProtection="1">
      <alignment horizontal="center" vertical="center"/>
    </xf>
    <xf numFmtId="0" fontId="2" fillId="2" borderId="7" xfId="0" applyFont="1" applyFill="1" applyBorder="1" applyAlignment="1" applyProtection="1">
      <alignment horizontal="center" vertical="center"/>
    </xf>
    <xf numFmtId="0" fontId="2" fillId="2" borderId="10" xfId="0" applyFont="1" applyFill="1" applyBorder="1" applyAlignment="1" applyProtection="1">
      <alignment horizontal="center" vertical="center"/>
    </xf>
    <xf numFmtId="0" fontId="2" fillId="2" borderId="8" xfId="0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 applyProtection="1">
      <alignment horizontal="center" vertical="center"/>
    </xf>
    <xf numFmtId="0" fontId="5" fillId="2" borderId="1" xfId="0" applyFont="1" applyFill="1" applyBorder="1" applyAlignment="1" applyProtection="1">
      <alignment horizontal="center"/>
    </xf>
    <xf numFmtId="0" fontId="5" fillId="2" borderId="2" xfId="0" applyFont="1" applyFill="1" applyBorder="1" applyAlignment="1" applyProtection="1">
      <alignment horizontal="center"/>
    </xf>
    <xf numFmtId="0" fontId="5" fillId="2" borderId="3" xfId="0" applyFont="1" applyFill="1" applyBorder="1" applyAlignment="1" applyProtection="1">
      <alignment horizontal="center"/>
    </xf>
    <xf numFmtId="0" fontId="2" fillId="13" borderId="8" xfId="0" applyFont="1" applyFill="1" applyBorder="1" applyAlignment="1" applyProtection="1">
      <alignment horizontal="center" vertical="center"/>
    </xf>
    <xf numFmtId="0" fontId="2" fillId="13" borderId="9" xfId="0" applyFont="1" applyFill="1" applyBorder="1" applyAlignment="1" applyProtection="1">
      <alignment horizontal="center" vertical="center"/>
    </xf>
    <xf numFmtId="0" fontId="2" fillId="13" borderId="12" xfId="0" applyFont="1" applyFill="1" applyBorder="1" applyAlignment="1" applyProtection="1">
      <alignment horizontal="center" vertical="center"/>
    </xf>
    <xf numFmtId="0" fontId="17" fillId="11" borderId="0" xfId="0" applyFont="1" applyFill="1" applyBorder="1" applyAlignment="1" applyProtection="1">
      <alignment horizontal="center"/>
      <protection locked="0"/>
    </xf>
    <xf numFmtId="0" fontId="17" fillId="9" borderId="0" xfId="0" applyFont="1" applyFill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7" xfId="0" applyBorder="1" applyAlignment="1" applyProtection="1">
      <alignment horizontal="center" vertical="top"/>
      <protection locked="0"/>
    </xf>
    <xf numFmtId="0" fontId="0" fillId="0" borderId="10" xfId="0" applyBorder="1" applyAlignment="1" applyProtection="1">
      <alignment horizontal="center" vertical="top"/>
      <protection locked="0"/>
    </xf>
    <xf numFmtId="0" fontId="0" fillId="0" borderId="0" xfId="0" applyBorder="1" applyAlignment="1" applyProtection="1">
      <alignment horizontal="center" vertical="top"/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10" fillId="10" borderId="0" xfId="3" applyFill="1" applyBorder="1" applyAlignment="1" applyProtection="1">
      <alignment horizontal="center"/>
    </xf>
    <xf numFmtId="0" fontId="10" fillId="10" borderId="7" xfId="3" applyFill="1" applyBorder="1" applyAlignment="1" applyProtection="1">
      <alignment horizontal="center"/>
    </xf>
    <xf numFmtId="0" fontId="25" fillId="10" borderId="8" xfId="0" applyFont="1" applyFill="1" applyBorder="1" applyAlignment="1" applyProtection="1">
      <alignment horizontal="center"/>
      <protection locked="0"/>
    </xf>
    <xf numFmtId="0" fontId="25" fillId="10" borderId="9" xfId="0" applyFont="1" applyFill="1" applyBorder="1" applyAlignment="1" applyProtection="1">
      <alignment horizontal="center"/>
      <protection locked="0"/>
    </xf>
    <xf numFmtId="0" fontId="27" fillId="10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hidden="1"/>
    </xf>
    <xf numFmtId="0" fontId="7" fillId="6" borderId="2" xfId="0" applyFont="1" applyFill="1" applyBorder="1" applyAlignment="1" applyProtection="1">
      <alignment horizontal="center"/>
      <protection hidden="1"/>
    </xf>
    <xf numFmtId="0" fontId="7" fillId="6" borderId="3" xfId="0" applyFont="1" applyFill="1" applyBorder="1" applyAlignment="1" applyProtection="1">
      <alignment horizontal="center"/>
      <protection hidden="1"/>
    </xf>
    <xf numFmtId="0" fontId="23" fillId="5" borderId="0" xfId="3" applyFont="1" applyFill="1" applyAlignment="1" applyProtection="1">
      <alignment horizontal="center"/>
      <protection hidden="1"/>
    </xf>
  </cellXfs>
  <cellStyles count="4">
    <cellStyle name="Hiperłącze" xfId="3" builtinId="8"/>
    <cellStyle name="Normalny" xfId="0" builtinId="0"/>
    <cellStyle name="Procentowy" xfId="2" builtinId="5"/>
    <cellStyle name="Walutowy" xfId="1" builtinId="4"/>
  </cellStyles>
  <dxfs count="132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64" formatCode="_-* #,##0.00\ [$zł-415]_-;\-* #,##0.00\ [$zł-415]_-;_-* &quot;-&quot;??\ [$zł-415]_-;_-@_-"/>
      <fill>
        <patternFill patternType="solid">
          <fgColor indexed="64"/>
          <bgColor theme="3"/>
        </patternFill>
      </fill>
      <border diagonalUp="0" diagonalDown="0" outline="0">
        <left/>
        <right style="medium">
          <color indexed="64"/>
        </right>
        <top/>
        <bottom/>
      </border>
      <protection locked="1" hidden="1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64" formatCode="_-* #,##0.00\ [$zł-415]_-;\-* #,##0.00\ [$zł-415]_-;_-* &quot;-&quot;??\ [$zł-415]_-;_-@_-"/>
      <fill>
        <patternFill patternType="solid">
          <fgColor indexed="64"/>
          <bgColor theme="3"/>
        </patternFill>
      </fill>
      <protection locked="1" hidden="1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65" formatCode="_-[$€-2]\ * #,##0.00_-;\-[$€-2]\ * #,##0.00_-;_-[$€-2]\ * &quot;-&quot;??_-;_-@_-"/>
      <fill>
        <patternFill patternType="solid">
          <fgColor indexed="64"/>
          <bgColor theme="3"/>
        </patternFill>
      </fill>
      <border diagonalUp="0" diagonalDown="0" outline="0">
        <left/>
        <right style="medium">
          <color indexed="64"/>
        </right>
        <top/>
        <bottom/>
      </border>
      <protection locked="1" hidden="1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65" formatCode="_-[$€-2]\ * #,##0.00_-;\-[$€-2]\ * #,##0.00_-;_-[$€-2]\ * &quot;-&quot;??_-;_-@_-"/>
      <fill>
        <patternFill patternType="solid">
          <fgColor indexed="64"/>
          <bgColor theme="3"/>
        </patternFill>
      </fill>
      <protection locked="1" hidden="1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/>
        </patternFill>
      </fill>
      <border diagonalUp="0" diagonalDown="0" outline="0">
        <left/>
        <right style="medium">
          <color indexed="64"/>
        </right>
        <top/>
        <bottom/>
      </border>
      <protection locked="1" hidden="1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/>
        </patternFill>
      </fill>
      <protection locked="1" hidden="1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/>
        </patternFill>
      </fill>
      <protection locked="1" hidden="1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/>
        </patternFill>
      </fill>
      <protection locked="1" hidden="1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/>
        </patternFill>
      </fill>
      <protection locked="1" hidden="1"/>
    </dxf>
    <dxf>
      <protection locked="0" hidden="0"/>
    </dxf>
    <dxf>
      <protection locked="0" hidden="1"/>
    </dxf>
    <dxf>
      <protection locked="0" hidden="1"/>
    </dxf>
    <dxf>
      <protection locked="0" hidden="1"/>
    </dxf>
    <dxf>
      <numFmt numFmtId="167" formatCode="_-[$$-409]* #,##0.00_ ;_-[$$-409]* \-#,##0.00\ ;_-[$$-409]* &quot;-&quot;??_ ;_-@_ "/>
    </dxf>
    <dxf>
      <fill>
        <patternFill patternType="solid">
          <fgColor indexed="64"/>
          <bgColor rgb="FFFFFF00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0" hidden="0"/>
    </dxf>
    <dxf>
      <protection locked="0" hidden="0"/>
    </dxf>
    <dxf>
      <numFmt numFmtId="166" formatCode="#,##0.00\ &quot;zł&quot;"/>
      <fill>
        <patternFill patternType="solid">
          <fgColor indexed="64"/>
          <bgColor theme="0" tint="-0.34998626667073579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1" hidden="0"/>
    </dxf>
    <dxf>
      <protection locked="0" hidden="0"/>
    </dxf>
    <dxf>
      <numFmt numFmtId="166" formatCode="#,##0.00\ &quot;zł&quot;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0" hidden="0"/>
    </dxf>
    <dxf>
      <protection locked="0" hidden="0"/>
    </dxf>
    <dxf>
      <numFmt numFmtId="166" formatCode="#,##0.00\ &quot;zł&quot;"/>
      <fill>
        <patternFill patternType="solid">
          <fgColor indexed="64"/>
          <bgColor theme="0" tint="-0.34998626667073579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1" hidden="0"/>
    </dxf>
    <dxf>
      <protection locked="0" hidden="0"/>
    </dxf>
    <dxf>
      <numFmt numFmtId="164" formatCode="_-* #,##0.00\ [$zł-415]_-;\-* #,##0.00\ [$zł-415]_-;_-* &quot;-&quot;??\ [$zł-415]_-;_-@_-"/>
      <fill>
        <patternFill patternType="solid">
          <fgColor indexed="64"/>
          <bgColor theme="0" tint="-0.34998626667073579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1" hidden="0"/>
    </dxf>
    <dxf>
      <protection locked="0" hidden="0"/>
    </dxf>
    <dxf>
      <numFmt numFmtId="164" formatCode="_-* #,##0.00\ [$zł-415]_-;\-* #,##0.00\ [$zł-415]_-;_-* &quot;-&quot;??\ [$zł-415]_-;_-@_-"/>
      <fill>
        <patternFill patternType="solid">
          <fgColor indexed="64"/>
          <bgColor rgb="FFFFFF00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0" hidden="0"/>
    </dxf>
    <dxf>
      <protection locked="0" hidden="0"/>
    </dxf>
    <dxf>
      <numFmt numFmtId="164" formatCode="_-* #,##0.00\ [$zł-415]_-;\-* #,##0.00\ [$zł-415]_-;_-* &quot;-&quot;??\ [$zł-415]_-;_-@_-"/>
      <fill>
        <patternFill patternType="solid">
          <fgColor indexed="64"/>
          <bgColor theme="0" tint="-0.34998626667073579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1" hidden="0"/>
    </dxf>
    <dxf>
      <protection locked="0" hidden="0"/>
    </dxf>
    <dxf>
      <numFmt numFmtId="1" formatCode="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0" hidden="0"/>
    </dxf>
    <dxf>
      <protection locked="0" hidden="0"/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auto="1"/>
        </top>
        <bottom style="medium">
          <color auto="1"/>
        </bottom>
      </border>
      <protection locked="1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65" formatCode="_-[$€-2]\ * #,##0.00_-;\-[$€-2]\ * #,##0.00_-;_-[$€-2]\ * &quot;-&quot;??_-;_-@_-"/>
      <fill>
        <patternFill patternType="solid">
          <fgColor indexed="64"/>
          <bgColor theme="3" tint="0.59999389629810485"/>
        </patternFill>
      </fill>
      <border diagonalUp="0" diagonalDown="0" outline="0">
        <left/>
        <right style="medium">
          <color indexed="64"/>
        </right>
        <top/>
        <bottom/>
      </border>
      <protection locked="1" hidden="0"/>
    </dxf>
    <dxf>
      <font>
        <i val="0"/>
      </font>
      <numFmt numFmtId="165" formatCode="_-[$€-2]\ * #,##0.00_-;\-[$€-2]\ * #,##0.00_-;_-[$€-2]\ * &quot;-&quot;??_-;_-@_-"/>
      <fill>
        <patternFill patternType="solid">
          <fgColor indexed="64"/>
          <bgColor theme="0" tint="-0.34998626667073579"/>
        </patternFill>
      </fill>
      <border diagonalUp="0" diagonalDown="0" outline="0">
        <left/>
        <right style="medium">
          <color indexed="64"/>
        </right>
        <top/>
        <bottom/>
      </border>
      <protection locked="1" hidden="0"/>
    </dxf>
    <dxf>
      <numFmt numFmtId="165" formatCode="_-[$€-2]\ * #,##0.00_-;\-[$€-2]\ * #,##0.00_-;_-[$€-2]\ * &quot;-&quot;??_-;_-@_-"/>
      <border diagonalUp="0" diagonalDown="0" outline="0">
        <left/>
        <right style="medium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i val="0"/>
      </font>
      <numFmt numFmtId="1" formatCode="0"/>
      <protection locked="0" hidden="0"/>
    </dxf>
    <dxf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_-[$€-2]\ * #,##0.00_-;\-[$€-2]\ * #,##0.00_-;_-[$€-2]\ * &quot;-&quot;??_-;_-@_-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/>
      </border>
      <protection locked="1" hidden="0"/>
    </dxf>
    <dxf>
      <font>
        <i val="0"/>
      </font>
      <numFmt numFmtId="165" formatCode="_-[$€-2]\ * #,##0.00_-;\-[$€-2]\ * #,##0.00_-;_-[$€-2]\ * &quot;-&quot;??_-;_-@_-"/>
      <protection locked="0" hidden="0"/>
    </dxf>
    <dxf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/>
      </border>
      <protection locked="1" hidden="0"/>
    </dxf>
    <dxf>
      <font>
        <i val="0"/>
      </font>
      <border outline="0">
        <left style="medium">
          <color indexed="64"/>
        </left>
        <right/>
      </border>
      <protection locked="0" hidden="0"/>
    </dxf>
    <dxf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65" formatCode="_-[$€-2]\ * #,##0.00_-;\-[$€-2]\ * #,##0.00_-;_-[$€-2]\ * &quot;-&quot;??_-;_-@_-"/>
      <fill>
        <patternFill patternType="solid">
          <fgColor indexed="64"/>
          <bgColor theme="3" tint="0.5999938962981048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  <protection locked="1" hidden="0"/>
    </dxf>
    <dxf>
      <font>
        <i val="0"/>
      </font>
      <numFmt numFmtId="165" formatCode="_-[$€-2]\ * #,##0.00_-;\-[$€-2]\ * #,##0.00_-;_-[$€-2]\ * &quot;-&quot;??_-;_-@_-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* #,##0.00\ &quot;zł&quot;_-;\-* #,##0.00\ &quot;zł&quot;_-;_-* &quot;-&quot;??\ &quot;zł&quot;_-;_-@_-"/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protection locked="1" hidden="0"/>
    </dxf>
    <dxf>
      <font>
        <i val="0"/>
      </font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59999389629810485"/>
        </patternFill>
      </fill>
      <protection locked="1" hidden="0"/>
    </dxf>
    <dxf>
      <font>
        <i val="0"/>
      </font>
      <border>
        <left style="medium">
          <color indexed="64"/>
        </left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65" formatCode="_-[$€-2]\ * #,##0.00_-;\-[$€-2]\ * #,##0.00_-;_-[$€-2]\ * &quot;-&quot;??_-;_-@_-"/>
      <fill>
        <patternFill patternType="solid">
          <fgColor indexed="64"/>
          <bgColor theme="3" tint="0.59999389629810485"/>
        </patternFill>
      </fill>
      <border diagonalUp="0" diagonalDown="0" outline="0">
        <left/>
        <right style="medium">
          <color indexed="64"/>
        </right>
        <top/>
        <bottom/>
      </border>
      <protection locked="1" hidden="0"/>
    </dxf>
    <dxf>
      <font>
        <i val="0"/>
      </font>
      <numFmt numFmtId="165" formatCode="_-[$€-2]\ * #,##0.00_-;\-[$€-2]\ * #,##0.00_-;_-[$€-2]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* #,##0.00\ &quot;zł&quot;_-;\-* #,##0.00\ &quot;zł&quot;_-;_-* &quot;-&quot;??\ &quot;zł&quot;_-;_-@_-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59999389629810485"/>
        </patternFill>
      </fill>
      <protection locked="1" hidden="0"/>
    </dxf>
    <dxf>
      <font>
        <i val="0"/>
      </font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59999389629810485"/>
        </patternFill>
      </fill>
      <protection locked="1" hidden="0"/>
    </dxf>
    <dxf>
      <font>
        <i val="0"/>
      </font>
      <border>
        <left style="medium">
          <color indexed="64"/>
        </left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65" formatCode="_-[$€-2]\ * #,##0.00_-;\-[$€-2]\ * #,##0.00_-;_-[$€-2]\ * &quot;-&quot;??_-;_-@_-"/>
      <fill>
        <patternFill patternType="solid">
          <fgColor indexed="64"/>
          <bgColor theme="3" tint="0.59999389629810485"/>
        </patternFill>
      </fill>
      <border diagonalUp="0" diagonalDown="0" outline="0">
        <left/>
        <right style="medium">
          <color indexed="64"/>
        </right>
        <top/>
        <bottom/>
      </border>
      <protection locked="1" hidden="0"/>
    </dxf>
    <dxf>
      <font>
        <i val="0"/>
      </font>
      <numFmt numFmtId="165" formatCode="_-[$€-2]\ * #,##0.00_-;\-[$€-2]\ * #,##0.00_-;_-[$€-2]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* #,##0.00\ &quot;zł&quot;_-;\-* #,##0.00\ &quot;zł&quot;_-;_-* &quot;-&quot;??\ &quot;zł&quot;_-;_-@_-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59999389629810485"/>
        </patternFill>
      </fill>
      <protection locked="1" hidden="0"/>
    </dxf>
    <dxf>
      <font>
        <i val="0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59999389629810485"/>
        </patternFill>
      </fill>
      <alignment horizontal="left" vertical="bottom" textRotation="0" wrapText="0" indent="0" justifyLastLine="0" shrinkToFit="0" readingOrder="0"/>
      <protection locked="1" hidden="0"/>
    </dxf>
    <dxf>
      <font>
        <i val="0"/>
        <color auto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protection locked="0" hidden="0"/>
    </dxf>
    <dxf>
      <border outline="0">
        <top style="medium">
          <color indexed="64"/>
        </top>
      </border>
    </dxf>
    <dxf>
      <font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9" tint="-0.249977111117893"/>
        </patternFill>
      </fill>
      <border diagonalUp="0" diagonalDown="0" outline="0">
        <left/>
        <right style="medium">
          <color indexed="64"/>
        </right>
        <top/>
        <bottom/>
      </border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9" tint="-0.249977111117893"/>
        </patternFill>
      </fill>
      <border diagonalUp="0" diagonalDown="0" outline="0">
        <left/>
        <right/>
        <top/>
        <bottom/>
      </border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9" tint="-0.249977111117893"/>
        </patternFill>
      </fill>
      <border diagonalUp="0" diagonalDown="0" outline="0">
        <left/>
        <right/>
        <top/>
        <bottom/>
      </border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9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* #,##0.00\ &quot;zł&quot;_-;\-* #,##0.00\ &quot;zł&quot;_-;_-* &quot;-&quot;??\ &quot;zł&quot;_-;_-@_-"/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9" tint="-0.249977111117893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9" tint="-0.249977111117893"/>
        </patternFill>
      </fill>
      <border diagonalUp="0" diagonalDown="0" outline="0">
        <left/>
        <right style="medium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* #,##0.00\ &quot;zł&quot;_-;\-* #,##0.00\ &quot;zł&quot;_-;_-* &quot;-&quot;??\ &quot;zł&quot;_-;_-@_-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9" tint="-0.249977111117893"/>
        </patternFill>
      </fill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9" tint="-0.249977111117893"/>
        </patternFill>
      </fill>
      <alignment horizontal="general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9" tint="-0.249977111117893"/>
        </patternFill>
      </fill>
      <border diagonalUp="0" diagonalDown="0" outline="0">
        <left/>
        <right style="medium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* #,##0.00\ &quot;zł&quot;_-;\-* #,##0.00\ &quot;zł&quot;_-;_-* &quot;-&quot;??\ &quot;zł&quot;_-;_-@_-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9" tint="-0.24997711111789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9" tint="-0.249977111117893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protection locked="0" hidden="0"/>
    </dxf>
    <dxf>
      <border outline="0">
        <top style="medium">
          <color indexed="64"/>
        </top>
      </border>
    </dxf>
    <dxf>
      <protection locked="0" hidden="0"/>
    </dxf>
    <dxf>
      <protection locked="0" hidden="0"/>
    </dxf>
    <dxf>
      <font>
        <color theme="0"/>
      </font>
      <fill>
        <patternFill>
          <bgColor theme="6" tint="-0.24994659260841701"/>
        </patternFill>
      </fill>
    </dxf>
    <dxf>
      <numFmt numFmtId="168" formatCode="[$$-540A]#,##0.00"/>
    </dxf>
    <dxf>
      <font>
        <b/>
        <i val="0"/>
        <color theme="0"/>
      </font>
      <fill>
        <patternFill>
          <bgColor theme="6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numFmt numFmtId="167" formatCode="_-[$$-409]* #,##0.00_ ;_-[$$-409]* \-#,##0.00\ ;_-[$$-409]* &quot;-&quot;??_ ;_-@_ "/>
    </dxf>
    <dxf>
      <numFmt numFmtId="169" formatCode="_-[$$-540A]* #,##0.00_ ;_-[$$-540A]* \-#,##0.00\ ;_-[$$-540A]* &quot;-&quot;??_ ;_-@_ "/>
    </dxf>
    <dxf>
      <numFmt numFmtId="167" formatCode="_-[$$-409]* #,##0.00_ ;_-[$$-409]* \-#,##0.00\ ;_-[$$-409]* &quot;-&quot;??_ ;_-@_ "/>
    </dxf>
    <dxf>
      <font>
        <b/>
        <i val="0"/>
        <color theme="0"/>
      </font>
      <fill>
        <patternFill>
          <bgColor theme="6" tint="-0.24994659260841701"/>
        </patternFill>
      </fill>
    </dxf>
    <dxf>
      <font>
        <b/>
        <i val="0"/>
        <color theme="0"/>
      </font>
      <fill>
        <patternFill>
          <bgColor theme="6" tint="-0.24994659260841701"/>
        </patternFill>
      </fill>
    </dxf>
    <dxf>
      <font>
        <b/>
        <i val="0"/>
        <color theme="0"/>
      </font>
      <fill>
        <patternFill>
          <bgColor theme="6" tint="-0.24994659260841701"/>
        </patternFill>
      </fill>
    </dxf>
    <dxf>
      <font>
        <b/>
        <i val="0"/>
        <color theme="0"/>
      </font>
      <fill>
        <patternFill>
          <bgColor theme="3" tint="0.59996337778862885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16" fmlaLink="'koszty autokaru'!$B$15" fmlaRange="'koszty autokaru'!$A$15:$A$16" noThreeD="1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10</xdr:row>
          <xdr:rowOff>76200</xdr:rowOff>
        </xdr:from>
        <xdr:to>
          <xdr:col>5</xdr:col>
          <xdr:colOff>904875</xdr:colOff>
          <xdr:row>10</xdr:row>
          <xdr:rowOff>266700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22</xdr:row>
          <xdr:rowOff>180975</xdr:rowOff>
        </xdr:from>
        <xdr:to>
          <xdr:col>3</xdr:col>
          <xdr:colOff>447675</xdr:colOff>
          <xdr:row>25</xdr:row>
          <xdr:rowOff>19050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8000"/>
                  </a:solidFill>
                  <a:latin typeface="Calibri"/>
                </a:rPr>
                <a:t>+ DODAJ NOWĄ USŁUGĘ PLN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38</xdr:row>
          <xdr:rowOff>114300</xdr:rowOff>
        </xdr:from>
        <xdr:to>
          <xdr:col>3</xdr:col>
          <xdr:colOff>447675</xdr:colOff>
          <xdr:row>40</xdr:row>
          <xdr:rowOff>123825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FF"/>
                  </a:solidFill>
                  <a:latin typeface="Calibri"/>
                </a:rPr>
                <a:t>- DODAJ NOWĄ USŁUGĘ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180975</xdr:rowOff>
        </xdr:from>
        <xdr:to>
          <xdr:col>9</xdr:col>
          <xdr:colOff>304800</xdr:colOff>
          <xdr:row>25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FF0000"/>
                  </a:solidFill>
                  <a:latin typeface="Calibri"/>
                </a:rPr>
                <a:t>- USUŃ OSTATNIO DODANĄ USŁUGĘ (WIERSZ)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38</xdr:row>
          <xdr:rowOff>66675</xdr:rowOff>
        </xdr:from>
        <xdr:to>
          <xdr:col>9</xdr:col>
          <xdr:colOff>304800</xdr:colOff>
          <xdr:row>40</xdr:row>
          <xdr:rowOff>85725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FF0000"/>
                  </a:solidFill>
                  <a:latin typeface="Calibri"/>
                </a:rPr>
                <a:t>- USUŃ OSTATNIO DODANĄ USŁUGĘ (WIERSZ)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12</xdr:row>
          <xdr:rowOff>38100</xdr:rowOff>
        </xdr:from>
        <xdr:to>
          <xdr:col>2</xdr:col>
          <xdr:colOff>666750</xdr:colOff>
          <xdr:row>13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339966"/>
                  </a:solidFill>
                  <a:latin typeface="Calibri"/>
                </a:rPr>
                <a:t>DODAJ NOWĄ USŁUGĘ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895350</xdr:colOff>
          <xdr:row>12</xdr:row>
          <xdr:rowOff>47625</xdr:rowOff>
        </xdr:from>
        <xdr:to>
          <xdr:col>5</xdr:col>
          <xdr:colOff>742950</xdr:colOff>
          <xdr:row>13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FF0000"/>
                  </a:solidFill>
                  <a:latin typeface="Calibri"/>
                </a:rPr>
                <a:t>- USUŃ OSTATNIO DODANĄ USŁUGĘ (WIERSZ)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16:M22" headerRowCount="0" totalsRowCount="1" headerRowDxfId="116" dataDxfId="115" totalsRowDxfId="113" tableBorderDxfId="114">
  <tableColumns count="13">
    <tableColumn id="1" name="Kolumna1" totalsRowLabel="SUMA" headerRowDxfId="112" totalsRowDxfId="111"/>
    <tableColumn id="2" name="Kolumna2" headerRowDxfId="110" totalsRowDxfId="109"/>
    <tableColumn id="3" name="Kolumna3" totalsRowFunction="sum" headerRowDxfId="108" dataDxfId="107" totalsRowDxfId="106" dataCellStyle="Walutowy"/>
    <tableColumn id="4" name="Kolumna4" totalsRowLabel="SUMA" headerRowDxfId="105" totalsRowDxfId="104"/>
    <tableColumn id="5" name="Kolumna5" headerRowDxfId="103" totalsRowDxfId="102"/>
    <tableColumn id="6" name="Kolumna6" totalsRowFunction="sum" headerRowDxfId="101" totalsRowDxfId="100" dataCellStyle="Walutowy"/>
    <tableColumn id="7" name="Kolumna7" totalsRowLabel="SUMA" headerRowDxfId="99" totalsRowDxfId="98">
      <calculatedColumnFormula>IF('koszty autokaru'!E3=1,"AUTOKAR GŁÓWNY","")</calculatedColumnFormula>
    </tableColumn>
    <tableColumn id="8" name="Kolumna8" headerRowDxfId="97" totalsRowDxfId="96"/>
    <tableColumn id="9" name="Kolumna9" totalsRowFunction="sum" headerRowDxfId="95" totalsRowDxfId="94" dataCellStyle="Walutowy"/>
    <tableColumn id="11" name="Kolumna10" totalsRowLabel="SUMA" headerRowDxfId="93" dataDxfId="92" totalsRowDxfId="91" dataCellStyle="Walutowy"/>
    <tableColumn id="12" name="Kolumna11" headerRowDxfId="90" totalsRowDxfId="89" dataCellStyle="Walutowy"/>
    <tableColumn id="13" name="Kolumna12" headerRowDxfId="88" totalsRowDxfId="87"/>
    <tableColumn id="14" name="Kolumna13" totalsRowFunction="sum" headerRowDxfId="86" totalsRowDxfId="85">
      <calculatedColumnFormula>Tabela3[[#This Row],[Kolumna11]]*Tabela3[[#This Row],[Kolumna12]]</calculatedColumnFormula>
    </tableColumn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id="4" name="Tabela35" displayName="Tabela35" ref="A31:M36" headerRowCount="0" totalsRowCount="1" headerRowDxfId="84" dataDxfId="83" totalsRowDxfId="81" tableBorderDxfId="82">
  <tableColumns count="13">
    <tableColumn id="1" name="Kolumna1" totalsRowLabel="Suma" headerRowDxfId="80" dataDxfId="79" totalsRowDxfId="78"/>
    <tableColumn id="2" name="Kolumna2" headerRowDxfId="77" dataDxfId="76" totalsRowDxfId="75"/>
    <tableColumn id="3" name="Kolumna3" totalsRowFunction="sum" headerRowDxfId="74" dataDxfId="73" totalsRowDxfId="72" dataCellStyle="Walutowy"/>
    <tableColumn id="4" name="Kolumna4" totalsRowLabel="SUMA" headerRowDxfId="71" dataDxfId="70" totalsRowDxfId="69"/>
    <tableColumn id="5" name="Kolumna5" headerRowDxfId="68" dataDxfId="67" totalsRowDxfId="66"/>
    <tableColumn id="6" name="Kolumna6" totalsRowFunction="sum" headerRowDxfId="65" dataDxfId="64" totalsRowDxfId="63" dataCellStyle="Walutowy"/>
    <tableColumn id="7" name="Kolumna7" totalsRowLabel="SUMA" headerRowDxfId="62" dataDxfId="61" totalsRowDxfId="60"/>
    <tableColumn id="8" name="Kolumna8" headerRowDxfId="59" dataDxfId="58" totalsRowDxfId="57"/>
    <tableColumn id="9" name="Kolumna9" totalsRowFunction="sum" headerRowDxfId="56" dataDxfId="55" totalsRowDxfId="54" dataCellStyle="Walutowy"/>
    <tableColumn id="10" name="Kolumna10" totalsRowLabel="SUMA" headerRowDxfId="53" dataDxfId="52" totalsRowDxfId="51" dataCellStyle="Walutowy"/>
    <tableColumn id="12" name="Kolumna11" headerRowDxfId="50" dataDxfId="49" totalsRowDxfId="48" dataCellStyle="Walutowy"/>
    <tableColumn id="13" name="Kolumna12" headerRowDxfId="47" dataDxfId="46" totalsRowDxfId="45" dataCellStyle="Walutowy"/>
    <tableColumn id="14" name="Kolumna13" totalsRowFunction="sum" headerRowDxfId="44" dataDxfId="43" totalsRowDxfId="42" dataCellStyle="Walutowy">
      <calculatedColumnFormula>Tabela35[[#This Row],[Kolumna11]]*Tabela35[[#This Row],[Kolumna12]]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id="1" name="Tabela1" displayName="Tabela1" ref="A56:I60" headerRowCount="0" insertRowShift="1" totalsRowShown="0" headerRowDxfId="41" dataDxfId="40">
  <tableColumns count="9">
    <tableColumn id="1" name="przedział osób" headerRowDxfId="39" dataDxfId="38">
      <calculatedColumnFormula>A46</calculatedColumnFormula>
    </tableColumn>
    <tableColumn id="2" name=" liczba pax" headerRowDxfId="37" dataDxfId="36"/>
    <tableColumn id="3" name="netto pax" headerRowDxfId="35" dataDxfId="34">
      <calculatedColumnFormula>IF(Tabela1[[#This Row],[ liczba pax]],(Tabela35[[#Totals],[Kolumna3]]*$C$6+Tabela3[[#Totals],[Kolumna3]])+(Tabela35[[#Totals],[Kolumna6]]*$C$6+Tabela3[[#Totals],[Kolumna6]])/Tabela1[[#This Row],[ liczba pax]]+(Tabela35[[#Totals],[Kolumna9]]*$C$6+Tabela3[[#Totals],[Kolumna9]])/Tabela1[[#This Row],[ liczba pax]]+(Tabela35[[#Totals],[Kolumna13]]*$C$6+Tabela3[[#Totals],[Kolumna13]])/Tabela1[[#This Row],[ liczba pax]]+B46*$C$6+(B46*$C$6*$C$4/Tabela1[[#This Row],[ liczba pax]])+(C46*$C$6/Tabela1[[#This Row],[ liczba pax]]),0)</calculatedColumnFormula>
    </tableColumn>
    <tableColumn id="4" name="marża pax" headerRowDxfId="33" dataDxfId="32"/>
    <tableColumn id="5" name="total marża" headerRowDxfId="31" dataDxfId="30">
      <calculatedColumnFormula>Tabela1[[#This Row],[marża pax]]*Tabela1[[#This Row],[ liczba pax]]</calculatedColumnFormula>
    </tableColumn>
    <tableColumn id="6" name="Kolumna1" headerRowDxfId="29" dataDxfId="28">
      <calculatedColumnFormula>Tabela1[[#This Row],[total marża]]/1.23</calculatedColumnFormula>
    </tableColumn>
    <tableColumn id="7" name="Kolumna2" headerRowDxfId="27" dataDxfId="26"/>
    <tableColumn id="8" name="Kolumna3" headerRowDxfId="25" dataDxfId="24">
      <calculatedColumnFormula>Tabela1[[#This Row],[netto pax]]+Tabela1[[#This Row],[marża pax]]</calculatedColumnFormula>
    </tableColumn>
    <tableColumn id="9" name="Kolumna4" headerRowDxfId="23" dataDxfId="22" dataCellStyle="Walutow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7" name="Tabela7" displayName="Tabela7" ref="A5:I11" headerRowCount="0" totalsRowCount="1" headerRowDxfId="20" dataDxfId="19" totalsRowDxfId="18">
  <tableColumns count="9">
    <tableColumn id="1" name="Kolumna1" totalsRowLabel="Suma" dataDxfId="17" totalsRowDxfId="16"/>
    <tableColumn id="2" name="Kolumna2" dataDxfId="15" totalsRowDxfId="14"/>
    <tableColumn id="3" name="Kolumna3" dataDxfId="13" totalsRowDxfId="12"/>
    <tableColumn id="4" name="Kolumna4" dataDxfId="11" totalsRowDxfId="10"/>
    <tableColumn id="5" name="Kolumna5" dataDxfId="9" totalsRowDxfId="8"/>
    <tableColumn id="6" name="Kolumna6" totalsRowFunction="sum" dataDxfId="7" totalsRowDxfId="6"/>
    <tableColumn id="7" name="Kolumna7" totalsRowFunction="sum" dataDxfId="5" totalsRowDxfId="4"/>
    <tableColumn id="8" name="Kolumna8" totalsRowFunction="sum" dataDxfId="3" totalsRowDxfId="2"/>
    <tableColumn id="9" name="Kolumna9" totalsRowFunction="s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>
    <pageSetUpPr fitToPage="1"/>
  </sheetPr>
  <dimension ref="A1:N76"/>
  <sheetViews>
    <sheetView showGridLines="0" tabSelected="1" zoomScale="85" zoomScaleNormal="85" workbookViewId="0">
      <selection activeCell="I33" sqref="I33"/>
    </sheetView>
  </sheetViews>
  <sheetFormatPr defaultColWidth="0" defaultRowHeight="15" x14ac:dyDescent="0.25"/>
  <cols>
    <col min="1" max="1" width="15.42578125" style="1" customWidth="1"/>
    <col min="2" max="2" width="12" style="1" customWidth="1"/>
    <col min="3" max="3" width="12.85546875" style="1" customWidth="1"/>
    <col min="4" max="4" width="12" style="1" customWidth="1"/>
    <col min="5" max="5" width="13" style="1" customWidth="1"/>
    <col min="6" max="6" width="15.28515625" style="1" customWidth="1"/>
    <col min="7" max="8" width="12.42578125" style="1" customWidth="1"/>
    <col min="9" max="9" width="13.85546875" style="1" customWidth="1"/>
    <col min="10" max="10" width="21.7109375" style="1" customWidth="1"/>
    <col min="11" max="11" width="12" style="1" customWidth="1"/>
    <col min="12" max="12" width="9.140625" style="1" customWidth="1"/>
    <col min="13" max="13" width="12.5703125" style="1" customWidth="1"/>
    <col min="14" max="14" width="9.140625" style="1" customWidth="1"/>
    <col min="15" max="21" width="9.140625" style="1" hidden="1" customWidth="1"/>
    <col min="22" max="16384" width="9.140625" style="1" hidden="1"/>
  </cols>
  <sheetData>
    <row r="1" spans="1:13" ht="21" x14ac:dyDescent="0.35">
      <c r="A1" s="191" t="s">
        <v>1</v>
      </c>
      <c r="B1" s="191"/>
      <c r="C1" s="191"/>
      <c r="D1" s="191"/>
      <c r="E1" s="191"/>
      <c r="F1" s="191" t="s">
        <v>2</v>
      </c>
      <c r="G1" s="191"/>
      <c r="H1" s="191"/>
      <c r="I1" s="191"/>
      <c r="K1" s="128" t="s">
        <v>51</v>
      </c>
      <c r="L1" s="128"/>
      <c r="M1" s="129">
        <f ca="1">TODAY()</f>
        <v>43654</v>
      </c>
    </row>
    <row r="2" spans="1:13" ht="21.75" thickBot="1" x14ac:dyDescent="0.4">
      <c r="A2" s="131"/>
      <c r="B2" s="131"/>
      <c r="C2" s="131"/>
      <c r="D2" s="131"/>
      <c r="E2" s="131"/>
      <c r="F2" s="131"/>
      <c r="G2" s="131"/>
      <c r="H2" s="131"/>
      <c r="I2" s="131"/>
      <c r="K2" s="142"/>
      <c r="L2" s="142"/>
      <c r="M2" s="143"/>
    </row>
    <row r="3" spans="1:13" x14ac:dyDescent="0.25">
      <c r="A3" s="205" t="s">
        <v>65</v>
      </c>
      <c r="B3" s="206"/>
      <c r="C3" s="136">
        <v>44</v>
      </c>
    </row>
    <row r="4" spans="1:13" ht="15.75" thickBot="1" x14ac:dyDescent="0.3">
      <c r="A4" s="203" t="s">
        <v>66</v>
      </c>
      <c r="B4" s="204"/>
      <c r="C4" s="137">
        <v>2</v>
      </c>
    </row>
    <row r="5" spans="1:13" ht="15.75" thickBot="1" x14ac:dyDescent="0.3"/>
    <row r="6" spans="1:13" ht="19.5" thickBot="1" x14ac:dyDescent="0.35">
      <c r="A6" s="200" t="s">
        <v>0</v>
      </c>
      <c r="B6" s="201"/>
      <c r="C6" s="43">
        <v>4.5999999999999996</v>
      </c>
      <c r="D6" s="7" t="s">
        <v>3</v>
      </c>
      <c r="E6" s="44">
        <v>10</v>
      </c>
      <c r="F6" s="192" t="s">
        <v>11</v>
      </c>
      <c r="G6" s="193"/>
      <c r="H6" s="8">
        <v>0.3</v>
      </c>
    </row>
    <row r="7" spans="1:13" ht="15.75" thickBot="1" x14ac:dyDescent="0.3">
      <c r="F7" s="207" t="str">
        <f>IF(Wybierz_walute="KURS USD","kurs EUR do ubezpieczenia","")</f>
        <v/>
      </c>
      <c r="G7" s="208"/>
      <c r="H7" s="151">
        <v>4.5999999999999996</v>
      </c>
    </row>
    <row r="8" spans="1:13" ht="15.75" thickBot="1" x14ac:dyDescent="0.3">
      <c r="A8" s="198" t="s">
        <v>14</v>
      </c>
      <c r="B8" s="199"/>
      <c r="C8" s="45">
        <v>400</v>
      </c>
      <c r="D8" s="9" t="s">
        <v>17</v>
      </c>
    </row>
    <row r="9" spans="1:13" ht="15.75" thickBot="1" x14ac:dyDescent="0.3">
      <c r="A9" s="192" t="s">
        <v>38</v>
      </c>
      <c r="B9" s="193"/>
      <c r="C9" s="44">
        <v>10</v>
      </c>
      <c r="F9" s="144"/>
    </row>
    <row r="10" spans="1:13" ht="15.75" thickBot="1" x14ac:dyDescent="0.3"/>
    <row r="11" spans="1:13" ht="27.75" customHeight="1" thickBot="1" x14ac:dyDescent="0.3">
      <c r="B11" s="194" t="s">
        <v>48</v>
      </c>
      <c r="C11" s="195"/>
      <c r="D11" s="195"/>
      <c r="E11" s="196"/>
      <c r="F11" s="197"/>
      <c r="G11" s="126"/>
      <c r="H11" s="202" t="str">
        <f>IF('koszty autokaru'!B15=1,"KLIKNIJ ABY WYLICZYĆ KOSZT AUTOKARU","")</f>
        <v/>
      </c>
      <c r="I11" s="202"/>
      <c r="J11" s="202"/>
      <c r="K11" s="127"/>
    </row>
    <row r="12" spans="1:13" ht="15.75" thickBot="1" x14ac:dyDescent="0.3"/>
    <row r="13" spans="1:13" ht="16.5" thickBot="1" x14ac:dyDescent="0.3">
      <c r="A13" s="218" t="s">
        <v>4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20"/>
    </row>
    <row r="14" spans="1:13" x14ac:dyDescent="0.25">
      <c r="A14" s="215" t="s">
        <v>5</v>
      </c>
      <c r="B14" s="216"/>
      <c r="C14" s="217"/>
      <c r="D14" s="215" t="s">
        <v>6</v>
      </c>
      <c r="E14" s="216"/>
      <c r="F14" s="217"/>
      <c r="G14" s="215" t="s">
        <v>7</v>
      </c>
      <c r="H14" s="216"/>
      <c r="I14" s="216"/>
      <c r="J14" s="215" t="s">
        <v>29</v>
      </c>
      <c r="K14" s="216"/>
      <c r="L14" s="216"/>
      <c r="M14" s="217"/>
    </row>
    <row r="15" spans="1:13" ht="15.75" thickBot="1" x14ac:dyDescent="0.3">
      <c r="A15" s="230"/>
      <c r="B15" s="231"/>
      <c r="C15" s="232"/>
      <c r="D15" s="230"/>
      <c r="E15" s="231"/>
      <c r="F15" s="232"/>
      <c r="G15" s="230"/>
      <c r="H15" s="231"/>
      <c r="I15" s="231"/>
      <c r="J15" s="152"/>
      <c r="K15" s="153" t="s">
        <v>30</v>
      </c>
      <c r="L15" s="153" t="s">
        <v>31</v>
      </c>
      <c r="M15" s="154" t="s">
        <v>32</v>
      </c>
    </row>
    <row r="16" spans="1:13" x14ac:dyDescent="0.25">
      <c r="A16" s="25" t="s">
        <v>10</v>
      </c>
      <c r="B16" s="26"/>
      <c r="C16" s="27">
        <f>IF(Wybierz_walute="KURS USD",'NIE USUWAC'!A10,'NIE USUWAC'!A7)</f>
        <v>13.799999999999999</v>
      </c>
      <c r="D16" s="28" t="s">
        <v>8</v>
      </c>
      <c r="E16" s="24"/>
      <c r="F16" s="27">
        <f>C8*C9</f>
        <v>4000</v>
      </c>
      <c r="G16" s="29" t="str">
        <f>IF('koszty autokaru'!B15=1,"AUTOKAR GŁOWNY","---------------")</f>
        <v>---------------</v>
      </c>
      <c r="H16" s="30"/>
      <c r="I16" s="31">
        <f>IF('koszty autokaru'!B15=1,'koszty autokaru'!B11+'koszty autokaru'!E9+'koszty autokaru'!H7,0)</f>
        <v>0</v>
      </c>
      <c r="J16" s="32" t="s">
        <v>15</v>
      </c>
      <c r="K16" s="33">
        <f>Tabela3[[#This Row],[Kolumna3]]</f>
        <v>13.799999999999999</v>
      </c>
      <c r="L16" s="46">
        <v>2</v>
      </c>
      <c r="M16" s="36">
        <f>Tabela3[[#This Row],[Kolumna11]]*Tabela3[[#This Row],[Kolumna12]]</f>
        <v>27.599999999999998</v>
      </c>
    </row>
    <row r="17" spans="1:13" x14ac:dyDescent="0.25">
      <c r="A17" s="23" t="s">
        <v>9</v>
      </c>
      <c r="B17" s="24"/>
      <c r="C17" s="47"/>
      <c r="D17" s="34" t="s">
        <v>15</v>
      </c>
      <c r="E17" s="30"/>
      <c r="F17" s="35">
        <f>C6*E6*H6</f>
        <v>13.799999999999999</v>
      </c>
      <c r="G17" s="48" t="str">
        <f>IF('koszty autokaru'!E4=1,"AUTOKAR GŁÓWNY","")</f>
        <v/>
      </c>
      <c r="H17" s="49"/>
      <c r="I17" s="50">
        <v>0</v>
      </c>
      <c r="J17" s="32" t="s">
        <v>9</v>
      </c>
      <c r="K17" s="33">
        <f>Tabela3[[#This Row],[Kolumna3]]</f>
        <v>0</v>
      </c>
      <c r="L17" s="51">
        <v>2</v>
      </c>
      <c r="M17" s="36">
        <f>Tabela3[[#This Row],[Kolumna11]]*Tabela3[[#This Row],[Kolumna12]]</f>
        <v>0</v>
      </c>
    </row>
    <row r="18" spans="1:13" x14ac:dyDescent="0.25">
      <c r="A18" s="29" t="s">
        <v>13</v>
      </c>
      <c r="B18" s="130"/>
      <c r="C18" s="60">
        <v>0</v>
      </c>
      <c r="D18" s="55" t="s">
        <v>12</v>
      </c>
      <c r="E18" s="53"/>
      <c r="F18" s="54">
        <v>1800</v>
      </c>
      <c r="G18" s="56" t="str">
        <f>IF('koszty autokaru'!E6=1,"AUTOKAR GŁÓWNY","")</f>
        <v/>
      </c>
      <c r="H18" s="53"/>
      <c r="I18" s="57">
        <v>0</v>
      </c>
      <c r="J18" s="144" t="s">
        <v>83</v>
      </c>
      <c r="K18" s="57">
        <v>15</v>
      </c>
      <c r="L18" s="46">
        <v>2</v>
      </c>
      <c r="M18" s="36">
        <f>Tabela3[[#This Row],[Kolumna11]]*Tabela3[[#This Row],[Kolumna12]]</f>
        <v>30</v>
      </c>
    </row>
    <row r="19" spans="1:13" x14ac:dyDescent="0.25">
      <c r="A19" s="1" t="s">
        <v>83</v>
      </c>
      <c r="C19" s="54">
        <v>15</v>
      </c>
      <c r="D19" s="55"/>
      <c r="E19" s="59"/>
      <c r="F19" s="60"/>
      <c r="G19" s="52" t="str">
        <f>IF('koszty autokaru'!E7=1,"AUTOKAR GŁÓWNY","")</f>
        <v/>
      </c>
      <c r="H19" s="59"/>
      <c r="I19" s="61"/>
      <c r="J19" s="58" t="s">
        <v>12</v>
      </c>
      <c r="K19" s="61"/>
      <c r="L19" s="63"/>
      <c r="M19" s="37">
        <f>Tabela3[[#This Row],[Kolumna11]]*Tabela3[[#This Row],[Kolumna12]]</f>
        <v>0</v>
      </c>
    </row>
    <row r="20" spans="1:13" x14ac:dyDescent="0.25">
      <c r="A20" s="52" t="s">
        <v>12</v>
      </c>
      <c r="B20" s="53"/>
      <c r="C20" s="54"/>
      <c r="D20" s="55"/>
      <c r="E20" s="59"/>
      <c r="F20" s="60"/>
      <c r="G20" s="64" t="str">
        <f>IF('koszty autokaru'!E8=1,"AUTOKAR GŁÓWNY","")</f>
        <v/>
      </c>
      <c r="H20" s="59"/>
      <c r="I20" s="61"/>
      <c r="J20" s="62"/>
      <c r="K20" s="61"/>
      <c r="L20" s="63"/>
      <c r="M20" s="37">
        <f>Tabela3[[#This Row],[Kolumna11]]*Tabela3[[#This Row],[Kolumna12]]</f>
        <v>0</v>
      </c>
    </row>
    <row r="21" spans="1:13" x14ac:dyDescent="0.25">
      <c r="A21" s="144"/>
      <c r="B21" s="144"/>
      <c r="C21" s="54"/>
      <c r="D21" s="55"/>
      <c r="E21" s="59"/>
      <c r="F21" s="60"/>
      <c r="G21" s="64" t="str">
        <f>IF('koszty autokaru'!E8=1,"AUTOKAR GŁÓWNY","")</f>
        <v/>
      </c>
      <c r="H21" s="59"/>
      <c r="I21" s="61"/>
      <c r="J21" s="62"/>
      <c r="K21" s="61"/>
      <c r="L21" s="63"/>
      <c r="M21" s="37">
        <f>Tabela3[[#This Row],[Kolumna11]]*Tabela3[[#This Row],[Kolumna12]]</f>
        <v>0</v>
      </c>
    </row>
    <row r="22" spans="1:13" ht="15.75" x14ac:dyDescent="0.25">
      <c r="A22" s="155" t="s">
        <v>28</v>
      </c>
      <c r="B22" s="156"/>
      <c r="C22" s="157">
        <f>SUBTOTAL(109,Tabela3[Kolumna3])</f>
        <v>28.799999999999997</v>
      </c>
      <c r="D22" s="158" t="s">
        <v>28</v>
      </c>
      <c r="E22" s="156"/>
      <c r="F22" s="157">
        <f>SUBTOTAL(109,Tabela3[Kolumna6])</f>
        <v>5813.8</v>
      </c>
      <c r="G22" s="155" t="s">
        <v>28</v>
      </c>
      <c r="H22" s="159"/>
      <c r="I22" s="160">
        <f>SUBTOTAL(109,Tabela3[Kolumna9])</f>
        <v>0</v>
      </c>
      <c r="J22" s="161" t="s">
        <v>28</v>
      </c>
      <c r="K22" s="162"/>
      <c r="L22" s="163"/>
      <c r="M22" s="157">
        <f>SUBTOTAL(109,Tabela3[Kolumna13])</f>
        <v>57.599999999999994</v>
      </c>
    </row>
    <row r="26" spans="1:13" ht="15.75" thickBot="1" x14ac:dyDescent="0.3">
      <c r="A26" s="65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</row>
    <row r="27" spans="1:13" ht="15.75" thickBot="1" x14ac:dyDescent="0.3"/>
    <row r="28" spans="1:13" ht="16.5" thickBot="1" x14ac:dyDescent="0.3">
      <c r="A28" s="227" t="str">
        <f>IF(Wybierz_walute="KURS USD","PŁATNOŚCI W USD","PŁATNOŚCI W EUR")</f>
        <v>PŁATNOŚCI W EUR</v>
      </c>
      <c r="B28" s="228"/>
      <c r="C28" s="228"/>
      <c r="D28" s="228"/>
      <c r="E28" s="228"/>
      <c r="F28" s="228"/>
      <c r="G28" s="228"/>
      <c r="H28" s="228"/>
      <c r="I28" s="228"/>
      <c r="J28" s="228"/>
      <c r="K28" s="228"/>
      <c r="L28" s="228"/>
      <c r="M28" s="229"/>
    </row>
    <row r="29" spans="1:13" x14ac:dyDescent="0.25">
      <c r="A29" s="223" t="s">
        <v>5</v>
      </c>
      <c r="B29" s="221"/>
      <c r="C29" s="222"/>
      <c r="D29" s="223" t="s">
        <v>6</v>
      </c>
      <c r="E29" s="221"/>
      <c r="F29" s="222"/>
      <c r="G29" s="223" t="s">
        <v>7</v>
      </c>
      <c r="H29" s="221"/>
      <c r="I29" s="222"/>
      <c r="J29" s="221" t="s">
        <v>29</v>
      </c>
      <c r="K29" s="221"/>
      <c r="L29" s="221"/>
      <c r="M29" s="222"/>
    </row>
    <row r="30" spans="1:13" ht="15.75" thickBot="1" x14ac:dyDescent="0.3">
      <c r="A30" s="224"/>
      <c r="B30" s="225"/>
      <c r="C30" s="226"/>
      <c r="D30" s="224"/>
      <c r="E30" s="225"/>
      <c r="F30" s="226"/>
      <c r="G30" s="224"/>
      <c r="H30" s="225"/>
      <c r="I30" s="226"/>
      <c r="J30" s="10"/>
      <c r="K30" s="11" t="s">
        <v>30</v>
      </c>
      <c r="L30" s="11" t="s">
        <v>31</v>
      </c>
      <c r="M30" s="12" t="s">
        <v>32</v>
      </c>
    </row>
    <row r="31" spans="1:13" x14ac:dyDescent="0.25">
      <c r="A31" s="66" t="s">
        <v>18</v>
      </c>
      <c r="B31" s="67"/>
      <c r="C31" s="68">
        <v>15</v>
      </c>
      <c r="D31" s="69" t="s">
        <v>18</v>
      </c>
      <c r="E31" s="70"/>
      <c r="F31" s="68">
        <v>15</v>
      </c>
      <c r="G31" s="71" t="s">
        <v>27</v>
      </c>
      <c r="H31" s="70"/>
      <c r="I31" s="164">
        <v>100</v>
      </c>
      <c r="J31" s="72" t="s">
        <v>18</v>
      </c>
      <c r="K31" s="72">
        <v>365</v>
      </c>
      <c r="L31" s="73">
        <v>2</v>
      </c>
      <c r="M31" s="38">
        <f>Tabela35[[#This Row],[Kolumna11]]*Tabela35[[#This Row],[Kolumna12]]</f>
        <v>730</v>
      </c>
    </row>
    <row r="32" spans="1:13" x14ac:dyDescent="0.25">
      <c r="A32" s="69" t="s">
        <v>18</v>
      </c>
      <c r="B32" s="75"/>
      <c r="C32" s="76">
        <v>15</v>
      </c>
      <c r="D32" s="69" t="s">
        <v>18</v>
      </c>
      <c r="E32" s="75"/>
      <c r="F32" s="76">
        <v>15</v>
      </c>
      <c r="G32" s="74" t="s">
        <v>84</v>
      </c>
      <c r="H32" s="75"/>
      <c r="I32" s="165">
        <v>1000</v>
      </c>
      <c r="J32" s="78"/>
      <c r="K32" s="78"/>
      <c r="L32" s="79">
        <v>2</v>
      </c>
      <c r="M32" s="38">
        <f>Tabela35[[#This Row],[Kolumna11]]*Tabela35[[#This Row],[Kolumna12]]</f>
        <v>0</v>
      </c>
    </row>
    <row r="33" spans="1:13" x14ac:dyDescent="0.25">
      <c r="A33" s="74"/>
      <c r="B33" s="75"/>
      <c r="C33" s="76"/>
      <c r="D33" s="77"/>
      <c r="E33" s="75"/>
      <c r="F33" s="76"/>
      <c r="G33" s="74"/>
      <c r="H33" s="75"/>
      <c r="I33" s="165"/>
      <c r="J33" s="80"/>
      <c r="K33" s="78"/>
      <c r="L33" s="79"/>
      <c r="M33" s="38">
        <f>Tabela35[[#This Row],[Kolumna11]]*Tabela35[[#This Row],[Kolumna12]]</f>
        <v>0</v>
      </c>
    </row>
    <row r="34" spans="1:13" x14ac:dyDescent="0.25">
      <c r="A34" s="74"/>
      <c r="B34" s="75"/>
      <c r="C34" s="76"/>
      <c r="D34" s="81"/>
      <c r="E34" s="75"/>
      <c r="F34" s="76"/>
      <c r="G34" s="82"/>
      <c r="H34" s="75"/>
      <c r="I34" s="165"/>
      <c r="J34" s="83"/>
      <c r="K34" s="78"/>
      <c r="L34" s="79"/>
      <c r="M34" s="38">
        <f>Tabela35[[#This Row],[Kolumna11]]*Tabela35[[#This Row],[Kolumna12]]</f>
        <v>0</v>
      </c>
    </row>
    <row r="35" spans="1:13" x14ac:dyDescent="0.25">
      <c r="A35" s="74"/>
      <c r="B35" s="75"/>
      <c r="C35" s="76"/>
      <c r="D35" s="81"/>
      <c r="E35" s="75"/>
      <c r="F35" s="76"/>
      <c r="G35" s="82"/>
      <c r="H35" s="75"/>
      <c r="I35" s="165"/>
      <c r="J35" s="83"/>
      <c r="K35" s="78"/>
      <c r="L35" s="79"/>
      <c r="M35" s="38">
        <f>Tabela35[[#This Row],[Kolumna11]]*Tabela35[[#This Row],[Kolumna12]]</f>
        <v>0</v>
      </c>
    </row>
    <row r="36" spans="1:13" ht="15.75" x14ac:dyDescent="0.25">
      <c r="A36" s="145" t="s">
        <v>16</v>
      </c>
      <c r="B36" s="146"/>
      <c r="C36" s="13">
        <f>SUBTOTAL(109,Tabela35[Kolumna3])</f>
        <v>30</v>
      </c>
      <c r="D36" s="146" t="s">
        <v>28</v>
      </c>
      <c r="E36" s="146"/>
      <c r="F36" s="13">
        <f>SUBTOTAL(109,Tabela35[Kolumna6])</f>
        <v>30</v>
      </c>
      <c r="G36" s="146" t="s">
        <v>28</v>
      </c>
      <c r="H36" s="147"/>
      <c r="I36" s="166">
        <f>SUBTOTAL(109,Tabela35[Kolumna9])</f>
        <v>1100</v>
      </c>
      <c r="J36" s="148" t="s">
        <v>28</v>
      </c>
      <c r="K36" s="149"/>
      <c r="L36" s="150"/>
      <c r="M36" s="138">
        <f>SUBTOTAL(109,Tabela35[Kolumna13])</f>
        <v>730</v>
      </c>
    </row>
    <row r="38" spans="1:13" x14ac:dyDescent="0.25">
      <c r="A38" s="14" t="s">
        <v>40</v>
      </c>
      <c r="B38" s="14"/>
      <c r="C38" s="84">
        <v>30</v>
      </c>
    </row>
    <row r="41" spans="1:13" ht="15.75" thickBot="1" x14ac:dyDescent="0.3">
      <c r="A41" s="65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</row>
    <row r="42" spans="1:13" x14ac:dyDescent="0.25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</row>
    <row r="43" spans="1:13" ht="15.75" x14ac:dyDescent="0.25">
      <c r="A43" s="240" t="s">
        <v>77</v>
      </c>
      <c r="B43" s="240"/>
      <c r="C43" s="240"/>
      <c r="D43" s="240"/>
      <c r="E43" s="240"/>
      <c r="F43" s="240"/>
      <c r="G43" s="240"/>
      <c r="H43" s="240"/>
      <c r="I43" s="240"/>
      <c r="J43" s="240"/>
      <c r="K43" s="240"/>
      <c r="L43" s="240"/>
      <c r="M43" s="240"/>
    </row>
    <row r="44" spans="1:13" s="144" customFormat="1" ht="15.75" thickBot="1" x14ac:dyDescent="0.3"/>
    <row r="45" spans="1:13" s="144" customFormat="1" ht="45.75" thickBot="1" x14ac:dyDescent="0.3">
      <c r="A45" s="16" t="s">
        <v>80</v>
      </c>
      <c r="B45" s="179" t="s">
        <v>81</v>
      </c>
      <c r="C45" s="16" t="s">
        <v>78</v>
      </c>
      <c r="E45" s="183" t="s">
        <v>79</v>
      </c>
    </row>
    <row r="46" spans="1:13" s="144" customFormat="1" x14ac:dyDescent="0.25">
      <c r="A46" s="180" t="s">
        <v>23</v>
      </c>
      <c r="B46" s="184">
        <v>10</v>
      </c>
      <c r="C46" s="185">
        <v>0</v>
      </c>
    </row>
    <row r="47" spans="1:13" s="144" customFormat="1" x14ac:dyDescent="0.25">
      <c r="A47" s="181" t="s">
        <v>24</v>
      </c>
      <c r="B47" s="186">
        <v>0</v>
      </c>
      <c r="C47" s="187">
        <v>0</v>
      </c>
    </row>
    <row r="48" spans="1:13" s="144" customFormat="1" x14ac:dyDescent="0.25">
      <c r="A48" s="181" t="s">
        <v>25</v>
      </c>
      <c r="B48" s="186">
        <v>20</v>
      </c>
      <c r="C48" s="187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s="144" customFormat="1" x14ac:dyDescent="0.25">
      <c r="A49" s="181" t="s">
        <v>37</v>
      </c>
      <c r="B49" s="186">
        <v>10</v>
      </c>
      <c r="C49" s="187">
        <v>10</v>
      </c>
      <c r="D49" s="100"/>
      <c r="E49" s="100"/>
      <c r="F49" s="100"/>
      <c r="G49" s="100"/>
      <c r="H49" s="100"/>
      <c r="I49" s="100"/>
      <c r="J49" s="100"/>
      <c r="K49" s="100"/>
      <c r="L49" s="100"/>
      <c r="M49" s="100"/>
    </row>
    <row r="50" spans="1:13" ht="15.75" thickBot="1" x14ac:dyDescent="0.3">
      <c r="A50" s="182" t="s">
        <v>26</v>
      </c>
      <c r="B50" s="188">
        <v>20</v>
      </c>
      <c r="C50" s="189">
        <v>20</v>
      </c>
      <c r="D50" s="100"/>
      <c r="E50" s="100"/>
      <c r="F50" s="100"/>
      <c r="G50" s="100"/>
      <c r="H50" s="100"/>
      <c r="I50" s="100"/>
      <c r="J50" s="100"/>
      <c r="K50" s="100"/>
      <c r="L50" s="100"/>
      <c r="M50" s="100"/>
    </row>
    <row r="51" spans="1:13" s="144" customFormat="1" ht="15.75" thickBot="1" x14ac:dyDescent="0.3">
      <c r="A51" s="65"/>
      <c r="B51" s="65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</row>
    <row r="52" spans="1:13" s="144" customFormat="1" x14ac:dyDescent="0.25">
      <c r="A52" s="100"/>
      <c r="B52" s="100"/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100"/>
    </row>
    <row r="53" spans="1:13" s="144" customFormat="1" ht="18.75" x14ac:dyDescent="0.3">
      <c r="A53" s="234" t="s">
        <v>19</v>
      </c>
      <c r="B53" s="234"/>
      <c r="C53" s="234"/>
      <c r="D53" s="234"/>
      <c r="E53" s="234"/>
      <c r="F53" s="234"/>
      <c r="G53" s="234"/>
      <c r="H53" s="234"/>
      <c r="I53" s="234"/>
      <c r="J53" s="234"/>
      <c r="K53" s="234"/>
      <c r="L53" s="234"/>
      <c r="M53" s="234"/>
    </row>
    <row r="54" spans="1:13" s="144" customFormat="1" ht="15.75" thickBo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</row>
    <row r="55" spans="1:13" ht="45.75" thickBot="1" x14ac:dyDescent="0.3">
      <c r="A55" s="16" t="s">
        <v>80</v>
      </c>
      <c r="B55" s="16" t="s">
        <v>82</v>
      </c>
      <c r="C55" s="15" t="s">
        <v>22</v>
      </c>
      <c r="D55" s="16" t="s">
        <v>33</v>
      </c>
      <c r="E55" s="16" t="s">
        <v>34</v>
      </c>
      <c r="F55" s="16" t="s">
        <v>39</v>
      </c>
      <c r="G55" s="17"/>
      <c r="H55" s="16" t="s">
        <v>35</v>
      </c>
      <c r="I55" s="16" t="s">
        <v>36</v>
      </c>
      <c r="J55" s="235" t="s">
        <v>75</v>
      </c>
      <c r="K55" s="236"/>
      <c r="L55" s="237"/>
      <c r="M55" s="173" t="s">
        <v>74</v>
      </c>
    </row>
    <row r="56" spans="1:13" ht="15.75" thickBot="1" x14ac:dyDescent="0.3">
      <c r="A56" s="190" t="str">
        <f>A46</f>
        <v>30-34</v>
      </c>
      <c r="B56" s="87"/>
      <c r="C56" s="39">
        <f>IF(Tabela1[[#This Row],[ liczba pax]],(Tabela35[[#Totals],[Kolumna3]]*$C$6+Tabela3[[#Totals],[Kolumna3]])+(Tabela35[[#Totals],[Kolumna6]]*$C$6+Tabela3[[#Totals],[Kolumna6]])/Tabela1[[#This Row],[ liczba pax]]+(Tabela35[[#Totals],[Kolumna9]]*$C$6+Tabela3[[#Totals],[Kolumna9]])/Tabela1[[#This Row],[ liczba pax]]+(Tabela35[[#Totals],[Kolumna13]]*$C$6+Tabela3[[#Totals],[Kolumna13]])/Tabela1[[#This Row],[ liczba pax]]+B46*$C$6+(B46*$C$6*$C$4/Tabela1[[#This Row],[ liczba pax]])+(C46*$C$6/Tabela1[[#This Row],[ liczba pax]]),0)</f>
        <v>0</v>
      </c>
      <c r="D56" s="88">
        <v>0</v>
      </c>
      <c r="E56" s="39">
        <f>Tabela1[[#This Row],[marża pax]]*Tabela1[[#This Row],[ liczba pax]]</f>
        <v>0</v>
      </c>
      <c r="F56" s="40">
        <f>Tabela1[[#This Row],[total marża]]/1.23</f>
        <v>0</v>
      </c>
      <c r="G56" s="89"/>
      <c r="H56" s="40">
        <f>Tabela1[[#This Row],[netto pax]]+Tabela1[[#This Row],[marża pax]]</f>
        <v>0</v>
      </c>
      <c r="I56" s="90"/>
      <c r="J56" s="238"/>
      <c r="K56" s="236"/>
      <c r="L56" s="239"/>
      <c r="M56" s="174">
        <f>IF(Tabela1[[#This Row],[Kolumna4]]&gt;2999.99,Tabela1[[#This Row],[Kolumna4]]*0.0414,Tabela1[[#All],[Kolumna4]]*0.039)</f>
        <v>0</v>
      </c>
    </row>
    <row r="57" spans="1:13" ht="15.75" thickBot="1" x14ac:dyDescent="0.3">
      <c r="A57" s="190" t="str">
        <f t="shared" ref="A57:A60" si="0">A47</f>
        <v>35-39</v>
      </c>
      <c r="B57" s="87"/>
      <c r="C57" s="39">
        <f>IF(Tabela1[[#This Row],[ liczba pax]],(Tabela35[[#Totals],[Kolumna3]]*$C$6+Tabela3[[#Totals],[Kolumna3]])+(Tabela35[[#Totals],[Kolumna6]]*$C$6+Tabela3[[#Totals],[Kolumna6]])/Tabela1[[#This Row],[ liczba pax]]+(Tabela35[[#Totals],[Kolumna9]]*$C$6+Tabela3[[#Totals],[Kolumna9]])/Tabela1[[#This Row],[ liczba pax]]+(Tabela35[[#Totals],[Kolumna13]]*$C$6+Tabela3[[#Totals],[Kolumna13]])/Tabela1[[#This Row],[ liczba pax]]+B47*$C$6+(B47*$C$6*$C$4/Tabela1[[#This Row],[ liczba pax]])+(C47*$C$6/Tabela1[[#This Row],[ liczba pax]]),0)</f>
        <v>0</v>
      </c>
      <c r="D57" s="88">
        <v>0</v>
      </c>
      <c r="E57" s="39">
        <f>Tabela1[[#This Row],[marża pax]]*Tabela1[[#This Row],[ liczba pax]]</f>
        <v>0</v>
      </c>
      <c r="F57" s="40">
        <f>Tabela1[[#This Row],[total marża]]/1.23</f>
        <v>0</v>
      </c>
      <c r="G57" s="91"/>
      <c r="H57" s="40">
        <f>Tabela1[[#This Row],[netto pax]]+Tabela1[[#This Row],[marża pax]]</f>
        <v>0</v>
      </c>
      <c r="I57" s="90"/>
      <c r="J57" s="238"/>
      <c r="K57" s="236"/>
      <c r="L57" s="239"/>
      <c r="M57" s="174">
        <f>IF(Tabela1[[#This Row],[Kolumna4]]&gt;2999.99,Tabela1[[#This Row],[Kolumna4]]*0.0414,Tabela1[[#All],[Kolumna4]]*0.039)</f>
        <v>0</v>
      </c>
    </row>
    <row r="58" spans="1:13" ht="15.75" thickBot="1" x14ac:dyDescent="0.3">
      <c r="A58" s="190" t="str">
        <f t="shared" si="0"/>
        <v>40-44</v>
      </c>
      <c r="B58" s="87">
        <v>40</v>
      </c>
      <c r="C58" s="39">
        <f>IF(Tabela1[[#This Row],[ liczba pax]],(Tabela35[[#Totals],[Kolumna3]]*$C$6+Tabela3[[#Totals],[Kolumna3]])+(Tabela35[[#Totals],[Kolumna6]]*$C$6+Tabela3[[#Totals],[Kolumna6]])/Tabela1[[#This Row],[ liczba pax]]+(Tabela35[[#Totals],[Kolumna9]]*$C$6+Tabela3[[#Totals],[Kolumna9]])/Tabela1[[#This Row],[ liczba pax]]+(Tabela35[[#Totals],[Kolumna13]]*$C$6+Tabela3[[#Totals],[Kolumna13]])/Tabela1[[#This Row],[ liczba pax]]+B48*$C$6+(B48*$C$6*$C$4/Tabela1[[#This Row],[ liczba pax]])+(C48*$C$6/Tabela1[[#This Row],[ liczba pax]]),0)</f>
        <v>624.08500000000004</v>
      </c>
      <c r="D58" s="88">
        <v>246</v>
      </c>
      <c r="E58" s="39">
        <f>Tabela1[[#This Row],[marża pax]]*Tabela1[[#This Row],[ liczba pax]]</f>
        <v>9840</v>
      </c>
      <c r="F58" s="40">
        <f>Tabela1[[#This Row],[total marża]]/1.23</f>
        <v>8000</v>
      </c>
      <c r="G58" s="91"/>
      <c r="H58" s="40">
        <f>Tabela1[[#This Row],[netto pax]]+Tabela1[[#This Row],[marża pax]]</f>
        <v>870.08500000000004</v>
      </c>
      <c r="I58" s="90">
        <v>2890</v>
      </c>
      <c r="J58" s="238"/>
      <c r="K58" s="236"/>
      <c r="L58" s="239"/>
      <c r="M58" s="174">
        <f>IF(Tabela1[[#This Row],[Kolumna4]]&gt;2999.99,Tabela1[[#This Row],[Kolumna4]]*0.0414,Tabela1[[#All],[Kolumna4]]*0.039)</f>
        <v>112.71</v>
      </c>
    </row>
    <row r="59" spans="1:13" ht="15.75" thickBot="1" x14ac:dyDescent="0.3">
      <c r="A59" s="190" t="str">
        <f t="shared" si="0"/>
        <v>45-49</v>
      </c>
      <c r="B59" s="87"/>
      <c r="C59" s="39">
        <f>IF(Tabela1[[#This Row],[ liczba pax]],(Tabela35[[#Totals],[Kolumna3]]*$C$6+Tabela3[[#Totals],[Kolumna3]])+(Tabela35[[#Totals],[Kolumna6]]*$C$6+Tabela3[[#Totals],[Kolumna6]])/Tabela1[[#This Row],[ liczba pax]]+(Tabela35[[#Totals],[Kolumna9]]*$C$6+Tabela3[[#Totals],[Kolumna9]])/Tabela1[[#This Row],[ liczba pax]]+(Tabela35[[#Totals],[Kolumna13]]*$C$6+Tabela3[[#Totals],[Kolumna13]])/Tabela1[[#This Row],[ liczba pax]]+B49*$C$6+(B49*$C$6*$C$4/Tabela1[[#This Row],[ liczba pax]])+(C49*$C$6/Tabela1[[#This Row],[ liczba pax]]),0)</f>
        <v>0</v>
      </c>
      <c r="D59" s="88">
        <v>0</v>
      </c>
      <c r="E59" s="39">
        <f>Tabela1[[#This Row],[marża pax]]*Tabela1[[#This Row],[ liczba pax]]</f>
        <v>0</v>
      </c>
      <c r="F59" s="40">
        <f>Tabela1[[#This Row],[total marża]]/1.23</f>
        <v>0</v>
      </c>
      <c r="G59" s="91"/>
      <c r="H59" s="40">
        <f>Tabela1[[#This Row],[netto pax]]+Tabela1[[#This Row],[marża pax]]</f>
        <v>0</v>
      </c>
      <c r="I59" s="90"/>
      <c r="J59" s="238"/>
      <c r="K59" s="236"/>
      <c r="L59" s="239"/>
      <c r="M59" s="174">
        <f>IF(Tabela1[[#This Row],[Kolumna4]]&gt;2999.99,Tabela1[[#This Row],[Kolumna4]]*0.0414,Tabela1[[#All],[Kolumna4]]*0.039)</f>
        <v>0</v>
      </c>
    </row>
    <row r="60" spans="1:13" ht="15.75" thickBot="1" x14ac:dyDescent="0.3">
      <c r="A60" s="190" t="str">
        <f t="shared" si="0"/>
        <v>50-55</v>
      </c>
      <c r="B60" s="87"/>
      <c r="C60" s="39">
        <f>IF(Tabela1[[#This Row],[ liczba pax]],(Tabela35[[#Totals],[Kolumna3]]*$C$6+Tabela3[[#Totals],[Kolumna3]])+(Tabela35[[#Totals],[Kolumna6]]*$C$6+Tabela3[[#Totals],[Kolumna6]])/Tabela1[[#This Row],[ liczba pax]]+(Tabela35[[#Totals],[Kolumna9]]*$C$6+Tabela3[[#Totals],[Kolumna9]])/Tabela1[[#This Row],[ liczba pax]]+(Tabela35[[#Totals],[Kolumna13]]*$C$6+Tabela3[[#Totals],[Kolumna13]])/Tabela1[[#This Row],[ liczba pax]]+B50*$C$6+(B50*$C$6*$C$4/Tabela1[[#This Row],[ liczba pax]])+(C50*$C$6/Tabela1[[#This Row],[ liczba pax]]),0)</f>
        <v>0</v>
      </c>
      <c r="D60" s="88">
        <v>0</v>
      </c>
      <c r="E60" s="39">
        <f>Tabela1[[#This Row],[marża pax]]*Tabela1[[#This Row],[ liczba pax]]</f>
        <v>0</v>
      </c>
      <c r="F60" s="40">
        <f>Tabela1[[#This Row],[total marża]]/1.23</f>
        <v>0</v>
      </c>
      <c r="G60" s="91"/>
      <c r="H60" s="40">
        <f>Tabela1[[#This Row],[netto pax]]+Tabela1[[#This Row],[marża pax]]</f>
        <v>0</v>
      </c>
      <c r="I60" s="90"/>
      <c r="J60" s="238"/>
      <c r="K60" s="236"/>
      <c r="L60" s="239"/>
      <c r="M60" s="174">
        <f>IF(Tabela1[[#This Row],[Kolumna4]]&gt;2999.99,Tabela1[[#This Row],[Kolumna4]]*0.0414,Tabela1[[#All],[Kolumna4]]*0.039)</f>
        <v>0</v>
      </c>
    </row>
    <row r="61" spans="1:13" ht="15.75" thickBot="1" x14ac:dyDescent="0.3">
      <c r="A61" s="92"/>
      <c r="G61" s="93"/>
      <c r="I61" s="2"/>
    </row>
    <row r="62" spans="1:13" ht="30.75" thickBot="1" x14ac:dyDescent="0.3">
      <c r="G62" s="139" t="s">
        <v>41</v>
      </c>
      <c r="H62" s="140">
        <f>C38*C6</f>
        <v>138</v>
      </c>
      <c r="I62" s="141"/>
    </row>
    <row r="63" spans="1:13" ht="15.75" thickBot="1" x14ac:dyDescent="0.3">
      <c r="A63" s="65"/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</row>
    <row r="64" spans="1:13" x14ac:dyDescent="0.25">
      <c r="A64" s="100"/>
      <c r="B64" s="100"/>
      <c r="C64" s="100"/>
      <c r="D64" s="100"/>
      <c r="E64" s="100"/>
      <c r="F64" s="100"/>
      <c r="G64" s="100"/>
      <c r="H64" s="100"/>
      <c r="I64" s="100"/>
      <c r="J64" s="100"/>
      <c r="K64" s="100"/>
      <c r="L64" s="100"/>
      <c r="M64" s="100"/>
    </row>
    <row r="65" spans="1:13" ht="18.75" x14ac:dyDescent="0.3">
      <c r="A65" s="233" t="s">
        <v>62</v>
      </c>
      <c r="B65" s="233"/>
      <c r="C65" s="233"/>
      <c r="D65" s="233"/>
      <c r="E65" s="233"/>
      <c r="F65" s="233"/>
      <c r="G65" s="233"/>
      <c r="H65" s="233"/>
      <c r="I65" s="233"/>
      <c r="J65" s="233"/>
      <c r="K65" s="233"/>
      <c r="L65" s="233"/>
      <c r="M65" s="233"/>
    </row>
    <row r="66" spans="1:13" ht="15.75" thickBot="1" x14ac:dyDescent="0.3">
      <c r="A66" s="100"/>
      <c r="B66" s="100"/>
      <c r="C66" s="100"/>
      <c r="D66" s="100"/>
      <c r="E66" s="100"/>
      <c r="F66" s="100"/>
      <c r="G66" s="100"/>
      <c r="H66" s="100"/>
      <c r="I66" s="100"/>
      <c r="J66" s="100"/>
      <c r="K66" s="100"/>
      <c r="L66" s="100"/>
      <c r="M66" s="100"/>
    </row>
    <row r="67" spans="1:13" x14ac:dyDescent="0.25">
      <c r="A67" s="209" t="s">
        <v>60</v>
      </c>
      <c r="B67" s="210"/>
      <c r="C67" s="211"/>
    </row>
    <row r="68" spans="1:13" ht="15.75" thickBot="1" x14ac:dyDescent="0.3">
      <c r="A68" s="212"/>
      <c r="B68" s="213"/>
      <c r="C68" s="214"/>
    </row>
    <row r="69" spans="1:13" ht="15.75" thickBot="1" x14ac:dyDescent="0.3"/>
    <row r="70" spans="1:13" ht="46.5" thickBot="1" x14ac:dyDescent="0.3">
      <c r="A70" s="85" t="s">
        <v>20</v>
      </c>
      <c r="B70" s="85" t="s">
        <v>21</v>
      </c>
      <c r="C70" s="86" t="str">
        <f>IF(Wybierz_walute="KURS USD","Koszt PAX USD","Koszt PAX EUR")</f>
        <v>Koszt PAX EUR</v>
      </c>
      <c r="D70" s="86" t="str">
        <f>IF(Wybierz_walute="KURS USD","KOSZT NA UMOWIE USD","KOSZT NA UMOWIE EUR")</f>
        <v>KOSZT NA UMOWIE EUR</v>
      </c>
      <c r="F70" s="86" t="s">
        <v>64</v>
      </c>
      <c r="G70" s="86" t="s">
        <v>63</v>
      </c>
    </row>
    <row r="71" spans="1:13" x14ac:dyDescent="0.25">
      <c r="A71" s="41" t="str">
        <f t="shared" ref="A71:B75" si="1">A56</f>
        <v>30-34</v>
      </c>
      <c r="B71" s="41">
        <f t="shared" si="1"/>
        <v>0</v>
      </c>
      <c r="C71" s="133">
        <f>IF(B71,Tabela7[[#Totals],[Kolumna6]]+Tabela7[[#Totals],[Kolumna7]]/'Cena PLN'!B71+Tabela7[[#Totals],[Kolumna6]]*'koszty na miejscu'!$F$2/'Cena PLN'!B71,0)</f>
        <v>0</v>
      </c>
      <c r="D71" s="134"/>
      <c r="F71" s="132">
        <f>IF(B71,Tabela7[[#Totals],[Kolumna8]]+Tabela7[[#Totals],[Kolumna9]]/'Cena PLN'!B71+Tabela7[[#Totals],[Kolumna8]]*'koszty na miejscu'!$F$2/'Cena PLN'!B71,0)</f>
        <v>0</v>
      </c>
      <c r="G71" s="90"/>
    </row>
    <row r="72" spans="1:13" x14ac:dyDescent="0.25">
      <c r="A72" s="41" t="str">
        <f t="shared" si="1"/>
        <v>35-39</v>
      </c>
      <c r="B72" s="41">
        <f t="shared" si="1"/>
        <v>0</v>
      </c>
      <c r="C72" s="133">
        <f>IF(B72,Tabela7[[#Totals],[Kolumna6]]+Tabela7[[#Totals],[Kolumna7]]/'Cena PLN'!B72+Tabela7[[#Totals],[Kolumna6]]*'koszty na miejscu'!$F$2/'Cena PLN'!B72,0)</f>
        <v>0</v>
      </c>
      <c r="D72" s="134"/>
      <c r="F72" s="132">
        <f>IF(B72,Tabela7[[#Totals],[Kolumna8]]+Tabela7[[#Totals],[Kolumna9]]/'Cena PLN'!B72+Tabela7[[#Totals],[Kolumna8]]*'koszty na miejscu'!$F$2/'Cena PLN'!B72,0)</f>
        <v>0</v>
      </c>
      <c r="G72" s="90"/>
    </row>
    <row r="73" spans="1:13" x14ac:dyDescent="0.25">
      <c r="A73" s="41" t="str">
        <f t="shared" si="1"/>
        <v>40-44</v>
      </c>
      <c r="B73" s="41">
        <f t="shared" si="1"/>
        <v>40</v>
      </c>
      <c r="C73" s="133">
        <f>IF(B73,Tabela7[[#Totals],[Kolumna6]]+Tabela7[[#Totals],[Kolumna7]]/'Cena PLN'!B73+Tabela7[[#Totals],[Kolumna6]]*'koszty na miejscu'!$F$2/'Cena PLN'!B73,0)</f>
        <v>78.75</v>
      </c>
      <c r="D73" s="134">
        <v>23</v>
      </c>
      <c r="F73" s="132">
        <f>IF(B73,Tabela7[[#Totals],[Kolumna8]]+Tabela7[[#Totals],[Kolumna9]]/'Cena PLN'!B73+Tabela7[[#Totals],[Kolumna8]]*'koszty na miejscu'!$F$2/'Cena PLN'!B73,0)</f>
        <v>0</v>
      </c>
      <c r="G73" s="90">
        <v>35</v>
      </c>
    </row>
    <row r="74" spans="1:13" x14ac:dyDescent="0.25">
      <c r="A74" s="41" t="str">
        <f t="shared" si="1"/>
        <v>45-49</v>
      </c>
      <c r="B74" s="41">
        <f t="shared" si="1"/>
        <v>0</v>
      </c>
      <c r="C74" s="133">
        <f>IF(B74,Tabela7[[#Totals],[Kolumna6]]+Tabela7[[#Totals],[Kolumna7]]/'Cena PLN'!B74+Tabela7[[#Totals],[Kolumna6]]*'koszty na miejscu'!$F$2/'Cena PLN'!B74,0)</f>
        <v>0</v>
      </c>
      <c r="D74" s="134"/>
      <c r="F74" s="132">
        <f>IF(B74,Tabela7[[#Totals],[Kolumna8]]+Tabela7[[#Totals],[Kolumna9]]/'Cena PLN'!B74+Tabela7[[#Totals],[Kolumna8]]*'koszty na miejscu'!$F$2/'Cena PLN'!B74,0)</f>
        <v>0</v>
      </c>
      <c r="G74" s="90"/>
    </row>
    <row r="75" spans="1:13" ht="15.75" thickBot="1" x14ac:dyDescent="0.3">
      <c r="A75" s="42" t="str">
        <f t="shared" si="1"/>
        <v>50-55</v>
      </c>
      <c r="B75" s="42">
        <f t="shared" si="1"/>
        <v>0</v>
      </c>
      <c r="C75" s="133">
        <f>IF(B75,Tabela7[[#Totals],[Kolumna6]]+Tabela7[[#Totals],[Kolumna7]]/'Cena PLN'!B75+Tabela7[[#Totals],[Kolumna6]]*'koszty na miejscu'!$F$2/'Cena PLN'!B75,0)</f>
        <v>0</v>
      </c>
      <c r="D75" s="135"/>
      <c r="F75" s="132">
        <f>IF(B75,Tabela7[[#Totals],[Kolumna8]]+Tabela7[[#Totals],[Kolumna9]]/'Cena PLN'!B75+Tabela7[[#Totals],[Kolumna8]]*'koszty na miejscu'!$F$2/'Cena PLN'!B75,0)</f>
        <v>0</v>
      </c>
      <c r="G75" s="94"/>
    </row>
    <row r="76" spans="1:13" ht="15.75" thickBot="1" x14ac:dyDescent="0.3">
      <c r="A76" s="65"/>
      <c r="B76" s="65"/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</row>
  </sheetData>
  <sheetProtection sheet="1" objects="1" scenarios="1" formatCells="0" insertHyperlinks="0" deleteColumns="0" sort="0"/>
  <mergeCells count="27">
    <mergeCell ref="A67:C68"/>
    <mergeCell ref="J14:M14"/>
    <mergeCell ref="A13:M13"/>
    <mergeCell ref="J29:M29"/>
    <mergeCell ref="A29:C30"/>
    <mergeCell ref="D29:F30"/>
    <mergeCell ref="G29:I30"/>
    <mergeCell ref="A28:M28"/>
    <mergeCell ref="D14:F15"/>
    <mergeCell ref="G14:I15"/>
    <mergeCell ref="A14:C15"/>
    <mergeCell ref="A65:M65"/>
    <mergeCell ref="A53:M53"/>
    <mergeCell ref="J55:L60"/>
    <mergeCell ref="A43:M43"/>
    <mergeCell ref="F1:I1"/>
    <mergeCell ref="A9:B9"/>
    <mergeCell ref="B11:D11"/>
    <mergeCell ref="E11:F11"/>
    <mergeCell ref="A1:E1"/>
    <mergeCell ref="F6:G6"/>
    <mergeCell ref="A8:B8"/>
    <mergeCell ref="A6:B6"/>
    <mergeCell ref="H11:J11"/>
    <mergeCell ref="A4:B4"/>
    <mergeCell ref="A3:B3"/>
    <mergeCell ref="F7:G7"/>
  </mergeCells>
  <conditionalFormatting sqref="F7:G7">
    <cfRule type="containsBlanks" dxfId="131" priority="19">
      <formula>LEN(TRIM(F7))=0</formula>
    </cfRule>
    <cfRule type="notContainsBlanks" dxfId="130" priority="20">
      <formula>LEN(TRIM(F7))&gt;0</formula>
    </cfRule>
  </conditionalFormatting>
  <conditionalFormatting sqref="H7">
    <cfRule type="expression" dxfId="129" priority="18">
      <formula>IF($A$6="KURS EURO",1,0)</formula>
    </cfRule>
  </conditionalFormatting>
  <conditionalFormatting sqref="A28:M28">
    <cfRule type="containsText" dxfId="128" priority="16" operator="containsText" text="PŁATNOŚCI W EUR">
      <formula>NOT(ISERROR(SEARCH("PŁATNOŚCI W EUR",A28)))</formula>
    </cfRule>
    <cfRule type="containsText" dxfId="127" priority="17" operator="containsText" text="PŁATNOŚCI W USD">
      <formula>NOT(ISERROR(SEARCH("PŁATNOŚCI W USD",A28)))</formula>
    </cfRule>
  </conditionalFormatting>
  <conditionalFormatting sqref="A29:M30">
    <cfRule type="expression" dxfId="126" priority="15">
      <formula>IF($A$28="PŁATNOŚCI W USD",1)</formula>
    </cfRule>
  </conditionalFormatting>
  <conditionalFormatting sqref="A36:M36">
    <cfRule type="expression" dxfId="125" priority="14">
      <formula>IF($A$28="PŁATNOŚCI W USD",1)</formula>
    </cfRule>
  </conditionalFormatting>
  <conditionalFormatting sqref="C71:D75 C31:C36 F31:F36 I31:I36 M31:M36">
    <cfRule type="expression" dxfId="124" priority="13">
      <formula>IF(Wybierz_walute="KURS USD",1)</formula>
    </cfRule>
  </conditionalFormatting>
  <conditionalFormatting sqref="K31:K33">
    <cfRule type="expression" dxfId="123" priority="10">
      <formula>IF(Wybierz_walute="KURS USD",1)</formula>
    </cfRule>
  </conditionalFormatting>
  <conditionalFormatting sqref="C38">
    <cfRule type="expression" dxfId="122" priority="9">
      <formula>IF(Wybierz_walute="KURS USD",1)</formula>
    </cfRule>
  </conditionalFormatting>
  <conditionalFormatting sqref="F55:F60">
    <cfRule type="expression" dxfId="121" priority="8">
      <formula>IF(Wybierz_walute="KURS USD",1)</formula>
    </cfRule>
  </conditionalFormatting>
  <conditionalFormatting sqref="A6:B6">
    <cfRule type="containsText" dxfId="120" priority="5" operator="containsText" text="KURS EUR">
      <formula>NOT(ISERROR(SEARCH("KURS EUR",A6)))</formula>
    </cfRule>
    <cfRule type="containsText" dxfId="119" priority="6" operator="containsText" text="KURS USD">
      <formula>NOT(ISERROR(SEARCH("KURS USD",A6)))</formula>
    </cfRule>
  </conditionalFormatting>
  <conditionalFormatting sqref="B46:C50">
    <cfRule type="expression" dxfId="118" priority="2">
      <formula>IF(Wybierz_walute="KURS USD",1)</formula>
    </cfRule>
  </conditionalFormatting>
  <conditionalFormatting sqref="A43:M43">
    <cfRule type="expression" dxfId="117" priority="1">
      <formula>IF(Wybierz_walute="KURS USD",1)</formula>
    </cfRule>
  </conditionalFormatting>
  <dataValidations count="1">
    <dataValidation type="list" allowBlank="1" showInputMessage="1" showErrorMessage="1" sqref="A6:B6">
      <formula1>KURS_EURO</formula1>
    </dataValidation>
  </dataValidations>
  <hyperlinks>
    <hyperlink ref="A67" location="'koszty autokaru'!A1" display="Wyliczenie autokaru"/>
    <hyperlink ref="A67:C68" location="'koszty na miejscu'!A1" display="KLIKNIJ ABY POLICZYĆ KOSZTY NA MIEJSCU"/>
    <hyperlink ref="H11:J11" location="'koszty autokaru'!A1" display="'koszty autokaru'!A1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83" fitToHeight="0" orientation="landscape" r:id="rId1"/>
  <rowBreaks count="2" manualBreakCount="2">
    <brk id="39" max="12" man="1"/>
    <brk id="63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Drop Down 13">
              <controlPr locked="0" defaultSize="0" autoLine="0" autoPict="0" altText="wybierz rodzaj transportu">
                <anchor moveWithCells="1">
                  <from>
                    <xdr:col>3</xdr:col>
                    <xdr:colOff>723900</xdr:colOff>
                    <xdr:row>10</xdr:row>
                    <xdr:rowOff>76200</xdr:rowOff>
                  </from>
                  <to>
                    <xdr:col>5</xdr:col>
                    <xdr:colOff>904875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" name="Button 24">
              <controlPr defaultSize="0" print="0" autoFill="0" autoPict="0" macro="[0]!nowePLN">
                <anchor moveWithCells="1" sizeWithCells="1">
                  <from>
                    <xdr:col>0</xdr:col>
                    <xdr:colOff>295275</xdr:colOff>
                    <xdr:row>22</xdr:row>
                    <xdr:rowOff>180975</xdr:rowOff>
                  </from>
                  <to>
                    <xdr:col>3</xdr:col>
                    <xdr:colOff>447675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NoweEUR">
                <anchor moveWithCells="1" sizeWithCells="1">
                  <from>
                    <xdr:col>0</xdr:col>
                    <xdr:colOff>314325</xdr:colOff>
                    <xdr:row>38</xdr:row>
                    <xdr:rowOff>114300</xdr:rowOff>
                  </from>
                  <to>
                    <xdr:col>3</xdr:col>
                    <xdr:colOff>447675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usunuslugePLN">
                <anchor moveWithCells="1">
                  <from>
                    <xdr:col>6</xdr:col>
                    <xdr:colOff>38100</xdr:colOff>
                    <xdr:row>22</xdr:row>
                    <xdr:rowOff>180975</xdr:rowOff>
                  </from>
                  <to>
                    <xdr:col>9</xdr:col>
                    <xdr:colOff>304800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ususnuslugeEUR">
                <anchor moveWithCells="1">
                  <from>
                    <xdr:col>6</xdr:col>
                    <xdr:colOff>38100</xdr:colOff>
                    <xdr:row>38</xdr:row>
                    <xdr:rowOff>66675</xdr:rowOff>
                  </from>
                  <to>
                    <xdr:col>9</xdr:col>
                    <xdr:colOff>304800</xdr:colOff>
                    <xdr:row>40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3"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>
    <tabColor theme="2" tint="-0.749992370372631"/>
  </sheetPr>
  <dimension ref="A1:L20"/>
  <sheetViews>
    <sheetView showGridLines="0" workbookViewId="0">
      <selection activeCell="G10" sqref="G10"/>
    </sheetView>
  </sheetViews>
  <sheetFormatPr defaultColWidth="0" defaultRowHeight="23.25" zeroHeight="1" x14ac:dyDescent="0.35"/>
  <cols>
    <col min="1" max="1" width="15" style="101" customWidth="1"/>
    <col min="2" max="2" width="12.28515625" style="101" bestFit="1" customWidth="1"/>
    <col min="3" max="3" width="8.7109375" style="172" customWidth="1"/>
    <col min="4" max="4" width="14" style="172" bestFit="1" customWidth="1"/>
    <col min="5" max="5" width="13.140625" style="172" customWidth="1"/>
    <col min="6" max="6" width="9.140625" style="172" customWidth="1"/>
    <col min="7" max="7" width="14" style="172" bestFit="1" customWidth="1"/>
    <col min="8" max="8" width="14.85546875" style="101" customWidth="1"/>
    <col min="9" max="10" width="9.140625" style="101" customWidth="1"/>
    <col min="11" max="12" width="9.140625" style="101" hidden="1" customWidth="1"/>
    <col min="13" max="16384" width="0" style="101" hidden="1"/>
  </cols>
  <sheetData>
    <row r="1" spans="1:11" ht="15" x14ac:dyDescent="0.25">
      <c r="C1" s="101"/>
      <c r="D1" s="101"/>
      <c r="E1" s="101"/>
      <c r="F1" s="101"/>
      <c r="G1" s="101"/>
      <c r="K1" s="171">
        <f>COUNTIF(B11,0)+COUNTIF(E9,0)+COUNTIF(H7,0)</f>
        <v>2</v>
      </c>
    </row>
    <row r="2" spans="1:11" ht="19.5" thickBot="1" x14ac:dyDescent="0.35">
      <c r="B2" s="102" t="s">
        <v>50</v>
      </c>
      <c r="C2" s="103"/>
      <c r="D2" s="103"/>
      <c r="E2" s="116"/>
      <c r="F2" s="101"/>
      <c r="G2" s="101"/>
      <c r="K2" s="101" t="str">
        <f>IF(K1&lt;2,"błąd","ok")</f>
        <v>ok</v>
      </c>
    </row>
    <row r="3" spans="1:11" ht="15" x14ac:dyDescent="0.25">
      <c r="A3" s="104" t="s">
        <v>49</v>
      </c>
      <c r="B3" s="105"/>
      <c r="C3" s="105"/>
      <c r="D3" s="105"/>
      <c r="E3" s="105"/>
      <c r="F3" s="105"/>
      <c r="G3" s="105"/>
      <c r="H3" s="105"/>
      <c r="I3" s="106"/>
      <c r="J3" s="108"/>
      <c r="K3" s="108"/>
    </row>
    <row r="4" spans="1:11" ht="15" hidden="1" x14ac:dyDescent="0.25">
      <c r="A4" s="107" t="b">
        <v>1</v>
      </c>
      <c r="B4" s="108"/>
      <c r="C4" s="108"/>
      <c r="D4" s="108"/>
      <c r="E4" s="108"/>
      <c r="F4" s="108"/>
      <c r="G4" s="108"/>
      <c r="H4" s="108"/>
      <c r="I4" s="109"/>
      <c r="J4" s="108"/>
      <c r="K4" s="108"/>
    </row>
    <row r="5" spans="1:11" ht="15" x14ac:dyDescent="0.25">
      <c r="A5" s="107"/>
      <c r="B5" s="108"/>
      <c r="C5" s="108"/>
      <c r="D5" s="108"/>
      <c r="E5" s="108"/>
      <c r="F5" s="108"/>
      <c r="G5" s="108"/>
      <c r="H5" s="108"/>
      <c r="I5" s="109"/>
      <c r="J5" s="108"/>
      <c r="K5" s="108"/>
    </row>
    <row r="6" spans="1:11" ht="15.75" thickBot="1" x14ac:dyDescent="0.3">
      <c r="A6" s="243" t="s">
        <v>45</v>
      </c>
      <c r="B6" s="244"/>
      <c r="C6" s="108"/>
      <c r="D6" s="244" t="s">
        <v>72</v>
      </c>
      <c r="E6" s="244"/>
      <c r="F6" s="108"/>
      <c r="G6" s="244" t="s">
        <v>73</v>
      </c>
      <c r="H6" s="244"/>
      <c r="I6" s="111"/>
      <c r="J6" s="110"/>
      <c r="K6" s="110"/>
    </row>
    <row r="7" spans="1:11" ht="15.75" thickBot="1" x14ac:dyDescent="0.3">
      <c r="A7" s="120" t="s">
        <v>43</v>
      </c>
      <c r="B7" s="112">
        <v>4000</v>
      </c>
      <c r="C7" s="108"/>
      <c r="D7" s="120" t="s">
        <v>71</v>
      </c>
      <c r="E7" s="168">
        <v>0</v>
      </c>
      <c r="F7" s="108"/>
      <c r="G7" s="123" t="s">
        <v>46</v>
      </c>
      <c r="H7" s="170">
        <v>0</v>
      </c>
      <c r="I7" s="109"/>
      <c r="J7" s="108"/>
      <c r="K7" s="108"/>
    </row>
    <row r="8" spans="1:11" ht="15" x14ac:dyDescent="0.25">
      <c r="A8" s="121" t="s">
        <v>44</v>
      </c>
      <c r="B8" s="113">
        <v>0.15</v>
      </c>
      <c r="C8" s="108"/>
      <c r="D8" s="122" t="s">
        <v>72</v>
      </c>
      <c r="E8" s="169">
        <v>0</v>
      </c>
      <c r="F8" s="108"/>
      <c r="G8" s="101"/>
      <c r="I8" s="109"/>
      <c r="J8" s="108"/>
      <c r="K8" s="108"/>
    </row>
    <row r="9" spans="1:11" ht="15.75" thickBot="1" x14ac:dyDescent="0.3">
      <c r="A9" s="121" t="s">
        <v>47</v>
      </c>
      <c r="B9" s="118">
        <f>B7*B8+B7</f>
        <v>4600</v>
      </c>
      <c r="C9" s="108"/>
      <c r="D9" s="123" t="s">
        <v>46</v>
      </c>
      <c r="E9" s="176">
        <f>E7*E8</f>
        <v>0</v>
      </c>
      <c r="F9" s="108"/>
      <c r="G9" s="101"/>
      <c r="I9" s="109"/>
      <c r="J9" s="108"/>
      <c r="K9" s="108"/>
    </row>
    <row r="10" spans="1:11" ht="15" x14ac:dyDescent="0.25">
      <c r="A10" s="122" t="s">
        <v>45</v>
      </c>
      <c r="B10" s="114">
        <v>5.5</v>
      </c>
      <c r="C10" s="108"/>
      <c r="D10" s="108"/>
      <c r="E10" s="108"/>
      <c r="F10" s="108"/>
      <c r="G10" s="108"/>
      <c r="H10" s="108"/>
      <c r="I10" s="109"/>
      <c r="J10" s="108"/>
      <c r="K10" s="108"/>
    </row>
    <row r="11" spans="1:11" ht="15.75" thickBot="1" x14ac:dyDescent="0.3">
      <c r="A11" s="123" t="s">
        <v>46</v>
      </c>
      <c r="B11" s="119">
        <f>B9*B10</f>
        <v>25300</v>
      </c>
      <c r="C11" s="108"/>
      <c r="D11" s="108"/>
      <c r="E11" s="108"/>
      <c r="F11" s="108"/>
      <c r="G11" s="241" t="s">
        <v>59</v>
      </c>
      <c r="H11" s="241"/>
      <c r="I11" s="242"/>
      <c r="J11" s="167"/>
      <c r="K11" s="167"/>
    </row>
    <row r="12" spans="1:11" ht="15.75" thickBot="1" x14ac:dyDescent="0.3">
      <c r="A12" s="115"/>
      <c r="B12" s="116"/>
      <c r="C12" s="116"/>
      <c r="D12" s="116"/>
      <c r="E12" s="116"/>
      <c r="F12" s="116"/>
      <c r="G12" s="116"/>
      <c r="H12" s="116"/>
      <c r="I12" s="117"/>
      <c r="J12" s="108"/>
      <c r="K12" s="108"/>
    </row>
    <row r="13" spans="1:11" ht="35.25" customHeight="1" x14ac:dyDescent="0.4">
      <c r="A13" s="245" t="str">
        <f>IF(K2="błąd","WYBIERZ TYLKO JEDNĄ FORMĘ WYLCZENIA (WYZERUJ POZOSTAŁE)","")</f>
        <v/>
      </c>
      <c r="B13" s="245"/>
      <c r="C13" s="245"/>
      <c r="D13" s="245"/>
      <c r="E13" s="245"/>
      <c r="F13" s="245"/>
      <c r="G13" s="245"/>
      <c r="H13" s="245"/>
      <c r="I13" s="245"/>
      <c r="J13" s="108"/>
      <c r="K13" s="108"/>
    </row>
    <row r="14" spans="1:11" ht="15" hidden="1" customHeight="1" x14ac:dyDescent="0.35">
      <c r="A14" s="108"/>
      <c r="B14" s="108"/>
      <c r="H14" s="108"/>
      <c r="I14" s="108"/>
      <c r="J14" s="108"/>
      <c r="K14" s="108"/>
    </row>
    <row r="15" spans="1:11" ht="15" hidden="1" customHeight="1" x14ac:dyDescent="0.35">
      <c r="A15" s="108" t="s">
        <v>42</v>
      </c>
      <c r="B15" s="108">
        <v>2</v>
      </c>
      <c r="H15" s="108"/>
      <c r="I15" s="108"/>
      <c r="J15" s="108"/>
      <c r="K15" s="108"/>
    </row>
    <row r="16" spans="1:11" ht="15" hidden="1" customHeight="1" x14ac:dyDescent="0.35">
      <c r="A16" s="108" t="s">
        <v>61</v>
      </c>
      <c r="B16" s="108"/>
      <c r="H16" s="108"/>
      <c r="I16" s="108"/>
      <c r="J16" s="108"/>
      <c r="K16" s="108"/>
    </row>
    <row r="17" spans="1:11" ht="15" hidden="1" customHeight="1" x14ac:dyDescent="0.35">
      <c r="A17" s="108"/>
      <c r="B17" s="108"/>
      <c r="H17" s="108"/>
      <c r="I17" s="108"/>
      <c r="J17" s="108"/>
      <c r="K17" s="108"/>
    </row>
    <row r="18" spans="1:11" ht="15" hidden="1" customHeight="1" x14ac:dyDescent="0.35"/>
    <row r="19" spans="1:11" ht="15" hidden="1" customHeight="1" x14ac:dyDescent="0.35"/>
    <row r="20" spans="1:11" ht="15" hidden="1" customHeight="1" x14ac:dyDescent="0.35"/>
  </sheetData>
  <sheetProtection sheet="1" objects="1" scenarios="1"/>
  <mergeCells count="5">
    <mergeCell ref="G11:I11"/>
    <mergeCell ref="A6:B6"/>
    <mergeCell ref="D6:E6"/>
    <mergeCell ref="G6:H6"/>
    <mergeCell ref="A13:I13"/>
  </mergeCells>
  <hyperlinks>
    <hyperlink ref="G11" location="'Cena PLN'!A1" display="POWRÓT TO KALKULACJI"/>
  </hyperlink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">
    <tabColor theme="2" tint="-0.749992370372631"/>
  </sheetPr>
  <dimension ref="A1:K17"/>
  <sheetViews>
    <sheetView showGridLines="0" zoomScaleNormal="100" workbookViewId="0">
      <selection activeCell="A5" sqref="A5:I10"/>
    </sheetView>
  </sheetViews>
  <sheetFormatPr defaultColWidth="0" defaultRowHeight="15" x14ac:dyDescent="0.25"/>
  <cols>
    <col min="1" max="2" width="12" style="22" customWidth="1"/>
    <col min="3" max="4" width="13.5703125" style="22" bestFit="1" customWidth="1"/>
    <col min="5" max="5" width="12" style="22" customWidth="1"/>
    <col min="6" max="6" width="13.5703125" style="22" bestFit="1" customWidth="1"/>
    <col min="7" max="7" width="14.5703125" style="22" customWidth="1"/>
    <col min="8" max="8" width="12.7109375" style="22" customWidth="1"/>
    <col min="9" max="9" width="13.85546875" style="22" customWidth="1"/>
    <col min="10" max="11" width="9.140625" style="22" customWidth="1"/>
    <col min="12" max="16384" width="9.140625" style="22" hidden="1"/>
  </cols>
  <sheetData>
    <row r="1" spans="1:11" ht="19.5" thickBot="1" x14ac:dyDescent="0.35">
      <c r="H1" s="249" t="s">
        <v>58</v>
      </c>
      <c r="I1" s="249"/>
      <c r="J1" s="249"/>
      <c r="K1" s="249"/>
    </row>
    <row r="2" spans="1:11" ht="15.75" thickBot="1" x14ac:dyDescent="0.3">
      <c r="A2" s="177" t="s">
        <v>76</v>
      </c>
      <c r="B2" s="178"/>
      <c r="C2" s="178"/>
      <c r="D2" s="178"/>
      <c r="E2" s="178"/>
      <c r="F2" s="175">
        <v>2</v>
      </c>
    </row>
    <row r="3" spans="1:11" ht="15.75" thickBot="1" x14ac:dyDescent="0.3">
      <c r="A3" s="95"/>
      <c r="B3" s="95"/>
      <c r="C3" s="95"/>
      <c r="D3" s="95"/>
      <c r="E3" s="95"/>
      <c r="F3" s="246" t="str">
        <f>IF(Wybierz_walute="KURS USD","USD","EUR")</f>
        <v>EUR</v>
      </c>
      <c r="G3" s="246"/>
      <c r="H3" s="246" t="s">
        <v>52</v>
      </c>
      <c r="I3" s="246"/>
    </row>
    <row r="4" spans="1:11" ht="15.75" thickBot="1" x14ac:dyDescent="0.3">
      <c r="A4" s="247" t="s">
        <v>55</v>
      </c>
      <c r="B4" s="247"/>
      <c r="C4" s="247"/>
      <c r="D4" s="247"/>
      <c r="E4" s="248"/>
      <c r="F4" s="96" t="s">
        <v>53</v>
      </c>
      <c r="G4" s="97" t="s">
        <v>54</v>
      </c>
      <c r="H4" s="96" t="s">
        <v>53</v>
      </c>
      <c r="I4" s="97" t="s">
        <v>54</v>
      </c>
    </row>
    <row r="5" spans="1:11" x14ac:dyDescent="0.25">
      <c r="A5" s="1" t="s">
        <v>56</v>
      </c>
      <c r="B5" s="1"/>
      <c r="C5" s="1"/>
      <c r="D5" s="1"/>
      <c r="E5" s="3"/>
      <c r="F5" s="4">
        <v>0</v>
      </c>
      <c r="G5" s="5">
        <v>0</v>
      </c>
      <c r="H5" s="2">
        <v>0</v>
      </c>
      <c r="I5" s="6">
        <v>0</v>
      </c>
    </row>
    <row r="6" spans="1:11" x14ac:dyDescent="0.25">
      <c r="A6" s="1" t="s">
        <v>57</v>
      </c>
      <c r="B6" s="1"/>
      <c r="C6" s="1"/>
      <c r="D6" s="1"/>
      <c r="E6" s="3"/>
      <c r="F6" s="4">
        <v>75</v>
      </c>
      <c r="G6" s="5"/>
      <c r="H6" s="2">
        <v>0</v>
      </c>
      <c r="I6" s="6">
        <v>0</v>
      </c>
    </row>
    <row r="7" spans="1:11" x14ac:dyDescent="0.25">
      <c r="A7" s="1"/>
      <c r="B7" s="1"/>
      <c r="C7" s="1"/>
      <c r="D7" s="1"/>
      <c r="E7" s="3"/>
      <c r="F7" s="4"/>
      <c r="G7" s="5"/>
      <c r="H7" s="2"/>
      <c r="I7" s="6"/>
    </row>
    <row r="8" spans="1:11" x14ac:dyDescent="0.25">
      <c r="A8" s="1"/>
      <c r="B8" s="1"/>
      <c r="C8" s="1"/>
      <c r="D8" s="1"/>
      <c r="E8" s="3"/>
      <c r="F8" s="4"/>
      <c r="G8" s="5"/>
      <c r="H8" s="2"/>
      <c r="I8" s="6"/>
    </row>
    <row r="9" spans="1:11" x14ac:dyDescent="0.25">
      <c r="A9" s="1"/>
      <c r="B9" s="1"/>
      <c r="C9" s="1"/>
      <c r="D9" s="1"/>
      <c r="E9" s="3"/>
      <c r="F9" s="4"/>
      <c r="G9" s="5"/>
      <c r="H9" s="2"/>
      <c r="I9" s="6"/>
    </row>
    <row r="10" spans="1:11" x14ac:dyDescent="0.25">
      <c r="A10" s="1"/>
      <c r="B10" s="1"/>
      <c r="C10" s="1"/>
      <c r="D10" s="1"/>
      <c r="E10" s="3"/>
      <c r="F10" s="4"/>
      <c r="G10" s="5"/>
      <c r="H10" s="2"/>
      <c r="I10" s="6"/>
    </row>
    <row r="11" spans="1:11" ht="15.75" x14ac:dyDescent="0.25">
      <c r="A11" s="98" t="s">
        <v>16</v>
      </c>
      <c r="B11" s="98"/>
      <c r="C11" s="98"/>
      <c r="D11" s="98"/>
      <c r="E11" s="99"/>
      <c r="F11" s="18">
        <f>SUBTOTAL(109,Tabela7[Kolumna6])</f>
        <v>75</v>
      </c>
      <c r="G11" s="19">
        <f>SUBTOTAL(109,Tabela7[Kolumna7])</f>
        <v>0</v>
      </c>
      <c r="H11" s="20">
        <f>SUBTOTAL(109,Tabela7[Kolumna8])</f>
        <v>0</v>
      </c>
      <c r="I11" s="21">
        <f>SUBTOTAL(109,Tabela7[Kolumna9])</f>
        <v>0</v>
      </c>
    </row>
    <row r="15" spans="1:11" x14ac:dyDescent="0.25">
      <c r="H15" s="125"/>
      <c r="I15" s="125"/>
    </row>
    <row r="16" spans="1:11" x14ac:dyDescent="0.25">
      <c r="J16" s="124"/>
      <c r="K16" s="124"/>
    </row>
    <row r="17" spans="1:9" s="125" customFormat="1" x14ac:dyDescent="0.25">
      <c r="A17" s="22"/>
      <c r="B17" s="22"/>
      <c r="C17" s="22"/>
      <c r="D17" s="22"/>
      <c r="E17" s="22"/>
      <c r="F17" s="22"/>
      <c r="G17" s="22"/>
      <c r="H17" s="22"/>
      <c r="I17" s="22"/>
    </row>
  </sheetData>
  <sheetProtection sheet="1" objects="1" scenarios="1" formatCells="0" insertHyperlinks="0" deleteColumns="0" sort="0"/>
  <mergeCells count="4">
    <mergeCell ref="F3:G3"/>
    <mergeCell ref="H3:I3"/>
    <mergeCell ref="A4:E4"/>
    <mergeCell ref="H1:K1"/>
  </mergeCells>
  <conditionalFormatting sqref="F5:G11">
    <cfRule type="expression" dxfId="21" priority="1">
      <formula>IF(Wybierz_walute="KURS USD",1,)</formula>
    </cfRule>
  </conditionalFormatting>
  <hyperlinks>
    <hyperlink ref="H1:K1" location="'Cena PLN'!A60" display="&lt;&lt; POWRÓT DO KALKULACJI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odajnowauslugezwiedzanie">
                <anchor moveWithCells="1" sizeWithCells="1">
                  <from>
                    <xdr:col>0</xdr:col>
                    <xdr:colOff>66675</xdr:colOff>
                    <xdr:row>12</xdr:row>
                    <xdr:rowOff>38100</xdr:rowOff>
                  </from>
                  <to>
                    <xdr:col>2</xdr:col>
                    <xdr:colOff>666750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usuwanieuslugiplatnejnamiejscu">
                <anchor moveWithCells="1">
                  <from>
                    <xdr:col>2</xdr:col>
                    <xdr:colOff>895350</xdr:colOff>
                    <xdr:row>12</xdr:row>
                    <xdr:rowOff>47625</xdr:rowOff>
                  </from>
                  <to>
                    <xdr:col>5</xdr:col>
                    <xdr:colOff>742950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2:A10"/>
  <sheetViews>
    <sheetView workbookViewId="0">
      <selection activeCell="A7" sqref="A7"/>
    </sheetView>
  </sheetViews>
  <sheetFormatPr defaultRowHeight="15" x14ac:dyDescent="0.25"/>
  <sheetData>
    <row r="2" spans="1:1" x14ac:dyDescent="0.25">
      <c r="A2" t="s">
        <v>67</v>
      </c>
    </row>
    <row r="3" spans="1:1" x14ac:dyDescent="0.25">
      <c r="A3" t="s">
        <v>0</v>
      </c>
    </row>
    <row r="4" spans="1:1" x14ac:dyDescent="0.25">
      <c r="A4" t="s">
        <v>68</v>
      </c>
    </row>
    <row r="6" spans="1:1" x14ac:dyDescent="0.25">
      <c r="A6" t="s">
        <v>69</v>
      </c>
    </row>
    <row r="7" spans="1:1" x14ac:dyDescent="0.25">
      <c r="A7">
        <f>'Cena PLN'!C6*'Cena PLN'!E6*'Cena PLN'!H6</f>
        <v>13.799999999999999</v>
      </c>
    </row>
    <row r="9" spans="1:1" x14ac:dyDescent="0.25">
      <c r="A9" t="s">
        <v>70</v>
      </c>
    </row>
    <row r="10" spans="1:1" x14ac:dyDescent="0.25">
      <c r="A10">
        <f>'Cena PLN'!H6*'Cena PLN'!H7*'Cena PLN'!E6</f>
        <v>13.799999999999999</v>
      </c>
    </row>
  </sheetData>
  <dataValidations count="1">
    <dataValidation type="list" allowBlank="1" showInputMessage="1" showErrorMessage="1" sqref="A3:A4">
      <formula1>Wybór_waluty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4</vt:i4>
      </vt:variant>
      <vt:variant>
        <vt:lpstr>Zakresy nazwane</vt:lpstr>
      </vt:variant>
      <vt:variant>
        <vt:i4>3</vt:i4>
      </vt:variant>
    </vt:vector>
  </HeadingPairs>
  <TitlesOfParts>
    <vt:vector size="7" baseType="lpstr">
      <vt:lpstr>Cena PLN</vt:lpstr>
      <vt:lpstr>koszty autokaru</vt:lpstr>
      <vt:lpstr>koszty na miejscu</vt:lpstr>
      <vt:lpstr>NIE USUWAC</vt:lpstr>
      <vt:lpstr>KURS_EURO</vt:lpstr>
      <vt:lpstr>Wybierz_walute</vt:lpstr>
      <vt:lpstr>Wybór_waluty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</dc:creator>
  <cp:lastModifiedBy>Tomek</cp:lastModifiedBy>
  <cp:lastPrinted>2017-07-04T08:07:26Z</cp:lastPrinted>
  <dcterms:created xsi:type="dcterms:W3CDTF">2017-06-30T08:37:31Z</dcterms:created>
  <dcterms:modified xsi:type="dcterms:W3CDTF">2019-07-08T12:16:01Z</dcterms:modified>
</cp:coreProperties>
</file>