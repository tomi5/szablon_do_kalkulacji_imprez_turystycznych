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11985" yWindow="60" windowWidth="9780" windowHeight="10035"/>
  </bookViews>
  <sheets>
    <sheet name="Cena PLN" sheetId="1" r:id="rId1"/>
    <sheet name="koszty autokaru" sheetId="2" r:id="rId2"/>
    <sheet name="koszty na miejscu" sheetId="3" r:id="rId3"/>
    <sheet name="NIE USUWAC" sheetId="4" state="hidden" r:id="rId4"/>
  </sheets>
  <definedNames>
    <definedName name="KURS_EURO">'NIE USUWAC'!$A$3:$A$4</definedName>
    <definedName name="Wybierz_walute">'Cena PLN'!$A$7</definedName>
    <definedName name="Wybór_waluty">'NIE USUWAC'!$A$3:$A$4</definedName>
  </definedNames>
  <calcPr calcId="145621"/>
</workbook>
</file>

<file path=xl/calcChain.xml><?xml version="1.0" encoding="utf-8"?>
<calcChain xmlns="http://schemas.openxmlformats.org/spreadsheetml/2006/main">
  <c r="G22" i="1" l="1"/>
  <c r="M22" i="1"/>
  <c r="G21" i="1" l="1"/>
  <c r="M21" i="1"/>
  <c r="C58" i="1" l="1"/>
  <c r="C59" i="1"/>
  <c r="C61" i="1"/>
  <c r="C62" i="1"/>
  <c r="A59" i="1"/>
  <c r="A60" i="1"/>
  <c r="A61" i="1"/>
  <c r="A62" i="1"/>
  <c r="A58" i="1"/>
  <c r="H64" i="1" l="1"/>
  <c r="B75" i="1" l="1"/>
  <c r="C75" i="1" l="1"/>
  <c r="F75" i="1"/>
  <c r="E9" i="2"/>
  <c r="M58" i="1" l="1"/>
  <c r="M59" i="1"/>
  <c r="M60" i="1"/>
  <c r="M61" i="1"/>
  <c r="M62" i="1"/>
  <c r="M37" i="1"/>
  <c r="H12" i="1"/>
  <c r="F3" i="3" l="1"/>
  <c r="D73" i="1"/>
  <c r="C73" i="1"/>
  <c r="A10" i="4"/>
  <c r="A7" i="4"/>
  <c r="A29" i="1"/>
  <c r="F8" i="1"/>
  <c r="C17" i="1" l="1"/>
  <c r="M36" i="1"/>
  <c r="M35" i="1"/>
  <c r="C38" i="1" l="1"/>
  <c r="F38" i="1"/>
  <c r="I38" i="1"/>
  <c r="M33" i="1"/>
  <c r="M34" i="1"/>
  <c r="M32" i="1"/>
  <c r="M38" i="1" l="1"/>
  <c r="K18" i="1"/>
  <c r="G17" i="1" l="1"/>
  <c r="A74" i="1" l="1"/>
  <c r="A75" i="1"/>
  <c r="A76" i="1"/>
  <c r="A77" i="1"/>
  <c r="A78" i="1"/>
  <c r="B74" i="1"/>
  <c r="B76" i="1"/>
  <c r="B77" i="1"/>
  <c r="F77" i="1" s="1"/>
  <c r="B78" i="1"/>
  <c r="I11" i="3"/>
  <c r="H11" i="3"/>
  <c r="G11" i="3"/>
  <c r="F11" i="3"/>
  <c r="M2" i="1"/>
  <c r="G18" i="1"/>
  <c r="G19" i="1"/>
  <c r="G20" i="1"/>
  <c r="B9" i="2"/>
  <c r="B11" i="2" s="1"/>
  <c r="K1" i="2" s="1"/>
  <c r="K2" i="2" s="1"/>
  <c r="A13" i="2" s="1"/>
  <c r="C74" i="1" l="1"/>
  <c r="F74" i="1"/>
  <c r="C78" i="1"/>
  <c r="F78" i="1"/>
  <c r="F76" i="1"/>
  <c r="C76" i="1"/>
  <c r="C77" i="1"/>
  <c r="I17" i="1"/>
  <c r="I23" i="1" s="1"/>
  <c r="F17" i="1"/>
  <c r="E58" i="1"/>
  <c r="F58" i="1" s="1"/>
  <c r="E59" i="1"/>
  <c r="F59" i="1" s="1"/>
  <c r="E60" i="1"/>
  <c r="F60" i="1" s="1"/>
  <c r="E61" i="1"/>
  <c r="F61" i="1" s="1"/>
  <c r="E62" i="1"/>
  <c r="F62" i="1" s="1"/>
  <c r="H58" i="1"/>
  <c r="H59" i="1"/>
  <c r="H62" i="1"/>
  <c r="M19" i="1"/>
  <c r="M20" i="1"/>
  <c r="F18" i="1" l="1"/>
  <c r="F23" i="1" s="1"/>
  <c r="K17" i="1"/>
  <c r="M17" i="1" s="1"/>
  <c r="C23" i="1" l="1"/>
  <c r="M18" i="1"/>
  <c r="M23" i="1" s="1"/>
  <c r="C60" i="1" l="1"/>
  <c r="H60" i="1" s="1"/>
  <c r="H61" i="1"/>
</calcChain>
</file>

<file path=xl/sharedStrings.xml><?xml version="1.0" encoding="utf-8"?>
<sst xmlns="http://schemas.openxmlformats.org/spreadsheetml/2006/main" count="119" uniqueCount="87">
  <si>
    <t>KURS EURO</t>
  </si>
  <si>
    <t>wpisz nazwe imprezy</t>
  </si>
  <si>
    <t>wpisz date imprezy</t>
  </si>
  <si>
    <t>LICZBA DNI</t>
  </si>
  <si>
    <t>PŁATNOŚĆI W PLN</t>
  </si>
  <si>
    <t>UCZESTNIK</t>
  </si>
  <si>
    <t>PILOT</t>
  </si>
  <si>
    <t>GRUPA</t>
  </si>
  <si>
    <t>wynagrodzenie</t>
  </si>
  <si>
    <t>TFG</t>
  </si>
  <si>
    <t>Ubezpieczenie</t>
  </si>
  <si>
    <t>ubezpieczenie stawka</t>
  </si>
  <si>
    <t>samolot</t>
  </si>
  <si>
    <t>prowizja agenta</t>
  </si>
  <si>
    <t>STAWKA PILOT</t>
  </si>
  <si>
    <t>ubezpieczenie</t>
  </si>
  <si>
    <t>Suma</t>
  </si>
  <si>
    <t>/dzien</t>
  </si>
  <si>
    <t>hotel</t>
  </si>
  <si>
    <t>przedział osób</t>
  </si>
  <si>
    <t xml:space="preserve"> liczba pax</t>
  </si>
  <si>
    <t>netto pax</t>
  </si>
  <si>
    <t>30-34</t>
  </si>
  <si>
    <t>35-39</t>
  </si>
  <si>
    <t>40-44</t>
  </si>
  <si>
    <t>50-55</t>
  </si>
  <si>
    <t>np. przewodnik</t>
  </si>
  <si>
    <t>SUMA</t>
  </si>
  <si>
    <t>GRATISY</t>
  </si>
  <si>
    <t>kwota</t>
  </si>
  <si>
    <t>ilość</t>
  </si>
  <si>
    <t>RAZEM</t>
  </si>
  <si>
    <t>marża brutto
pax</t>
  </si>
  <si>
    <t>total 
marża brutto</t>
  </si>
  <si>
    <t>CENA  
Z MARŻA</t>
  </si>
  <si>
    <t>CENA
 NA UMOWIE</t>
  </si>
  <si>
    <t>45-49</t>
  </si>
  <si>
    <t>LICZBA DNI PILOT</t>
  </si>
  <si>
    <t>total 
marża netto w UE</t>
  </si>
  <si>
    <t>DOPŁATA DO SGL</t>
  </si>
  <si>
    <t>dopłata 
do sgl</t>
  </si>
  <si>
    <t>AUTOKAR</t>
  </si>
  <si>
    <t>Ilość km</t>
  </si>
  <si>
    <t>+ % km</t>
  </si>
  <si>
    <t>stawka za km</t>
  </si>
  <si>
    <t>koszt autokaru</t>
  </si>
  <si>
    <t>km z nadwyżką</t>
  </si>
  <si>
    <t>RODZAJ TRANSPORTU GŁÓWNEGO</t>
  </si>
  <si>
    <t>WYLICZENIE KOSZTÓW AUTOKARU</t>
  </si>
  <si>
    <t>UZUPEŁNIJ TYLKO ŻÓŁTE POLA</t>
  </si>
  <si>
    <t>KALKULACJA Z DNIA</t>
  </si>
  <si>
    <t>PLN</t>
  </si>
  <si>
    <t>koszt pax</t>
  </si>
  <si>
    <t>koszt grupa</t>
  </si>
  <si>
    <t>USŁUGA</t>
  </si>
  <si>
    <t>przewodnik rzym</t>
  </si>
  <si>
    <t>wstep A</t>
  </si>
  <si>
    <t>&lt;&lt; POWRÓT DO KALKULACJI</t>
  </si>
  <si>
    <t>&lt;&lt; POWRÓT TO KALKULACJI</t>
  </si>
  <si>
    <t>KLIKNIJ ABY POLICZYĆ KOSZTY NA MIEJSCU</t>
  </si>
  <si>
    <t>SAMOLOT</t>
  </si>
  <si>
    <t>KOSZTY PŁATNE NA MIEJSCU</t>
  </si>
  <si>
    <r>
      <t xml:space="preserve">KOSZT NA UMOWIE </t>
    </r>
    <r>
      <rPr>
        <b/>
        <u/>
        <sz val="12"/>
        <color theme="1"/>
        <rFont val="Calibri"/>
        <family val="2"/>
        <charset val="238"/>
        <scheme val="minor"/>
      </rPr>
      <t>PLN</t>
    </r>
  </si>
  <si>
    <r>
      <t xml:space="preserve">Koszt/PAX
</t>
    </r>
    <r>
      <rPr>
        <b/>
        <u/>
        <sz val="12"/>
        <color theme="1"/>
        <rFont val="Calibri"/>
        <family val="2"/>
        <charset val="238"/>
        <scheme val="minor"/>
      </rPr>
      <t>PLN</t>
    </r>
  </si>
  <si>
    <t>Liczba osób płatnych</t>
  </si>
  <si>
    <t>Liczba gratisów</t>
  </si>
  <si>
    <t>WYBÓR WALUTY</t>
  </si>
  <si>
    <t>KURS USD</t>
  </si>
  <si>
    <t>Ubezpieczenie EUR</t>
  </si>
  <si>
    <t>Ubezpieczenie USD</t>
  </si>
  <si>
    <t>ilość dni</t>
  </si>
  <si>
    <t>stawka/dzień</t>
  </si>
  <si>
    <t>ryczałt</t>
  </si>
  <si>
    <t>UKR</t>
  </si>
  <si>
    <t>NOTATKI do ceny</t>
  </si>
  <si>
    <t>LICZBA GRATISÓW KTÓRYCH KOSZTY MUSZĄ POKRYĆ UCZESTNICY</t>
  </si>
  <si>
    <t>JEŚLI CENA NA UMOWIE W DEWIZACH TO ZANIZAMY KURS!</t>
  </si>
  <si>
    <t>WYLICZENIE CENY - W DEWIZACH</t>
  </si>
  <si>
    <t>KWOTA NA UMOWIE W DEWIZACH</t>
  </si>
  <si>
    <t>PAKIET OD KONTRAHENTA</t>
  </si>
  <si>
    <t>cena 
za pilota</t>
  </si>
  <si>
    <t>opis pakietu</t>
  </si>
  <si>
    <t>przedział osób
pelnoplatni u kontrahenta</t>
  </si>
  <si>
    <t xml:space="preserve"> liczba pax
platnych u nas</t>
  </si>
  <si>
    <t>cena/os.</t>
  </si>
  <si>
    <t>chusty,dyplomy,identyfikatory</t>
  </si>
  <si>
    <t>autokar miejscowy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</si>
</sst>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  <numFmt numFmtId="165" formatCode="_-[$€-2]\ * #,##0.00_-;\-[$€-2]\ * #,##0.00_-;_-[$€-2]\ * &quot;-&quot;??_-;_-@_-"/>
    <numFmt numFmtId="166" formatCode="#,##0.00\ &quot;zł&quot;"/>
  </numFmts>
  <fonts count="2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i/>
      <sz val="12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i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b/>
      <sz val="11"/>
      <color rgb="FF008000"/>
      <name val="Calibri"/>
      <family val="2"/>
      <charset val="238"/>
    </font>
    <font>
      <b/>
      <sz val="11"/>
      <color rgb="FF0000FF"/>
      <name val="Calibri"/>
      <family val="2"/>
      <charset val="238"/>
    </font>
    <font>
      <b/>
      <sz val="11"/>
      <color rgb="FF339966"/>
      <name val="Calibri"/>
      <family val="2"/>
      <charset val="238"/>
    </font>
    <font>
      <b/>
      <sz val="14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</font>
    <font>
      <b/>
      <u/>
      <sz val="12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u/>
      <sz val="14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rgb="FF0070C0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b/>
      <sz val="20"/>
      <color rgb="FFFF0000"/>
      <name val="Calibri"/>
      <family val="2"/>
      <charset val="238"/>
      <scheme val="minor"/>
    </font>
    <font>
      <b/>
      <u/>
      <sz val="14"/>
      <color theme="1"/>
      <name val="Calibri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0" tint="-0.14999847407452621"/>
      </top>
      <bottom/>
      <diagonal/>
    </border>
    <border>
      <left style="medium">
        <color indexed="64"/>
      </left>
      <right style="medium">
        <color indexed="64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248">
    <xf numFmtId="0" fontId="0" fillId="0" borderId="0" xfId="0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0" borderId="7" xfId="0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7" xfId="0" applyNumberFormat="1" applyBorder="1" applyProtection="1">
      <protection locked="0"/>
    </xf>
    <xf numFmtId="164" fontId="0" fillId="0" borderId="7" xfId="0" applyNumberFormat="1" applyBorder="1" applyProtection="1">
      <protection locked="0"/>
    </xf>
    <xf numFmtId="0" fontId="2" fillId="8" borderId="1" xfId="0" applyFont="1" applyFill="1" applyBorder="1" applyProtection="1"/>
    <xf numFmtId="165" fontId="2" fillId="8" borderId="3" xfId="0" applyNumberFormat="1" applyFont="1" applyFill="1" applyBorder="1" applyProtection="1"/>
    <xf numFmtId="0" fontId="2" fillId="8" borderId="3" xfId="0" quotePrefix="1" applyFont="1" applyFill="1" applyBorder="1" applyProtection="1"/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7" xfId="0" applyFont="1" applyFill="1" applyBorder="1" applyAlignment="1" applyProtection="1">
      <alignment horizontal="center" vertical="center"/>
    </xf>
    <xf numFmtId="165" fontId="5" fillId="2" borderId="7" xfId="0" applyNumberFormat="1" applyFont="1" applyFill="1" applyBorder="1" applyProtection="1"/>
    <xf numFmtId="0" fontId="2" fillId="5" borderId="0" xfId="0" applyFont="1" applyFill="1" applyProtection="1"/>
    <xf numFmtId="0" fontId="0" fillId="0" borderId="11" xfId="0" applyBorder="1" applyAlignment="1" applyProtection="1">
      <alignment horizontal="center" vertical="center" wrapText="1"/>
    </xf>
    <xf numFmtId="0" fontId="0" fillId="3" borderId="16" xfId="0" applyFill="1" applyBorder="1" applyProtection="1"/>
    <xf numFmtId="165" fontId="5" fillId="11" borderId="0" xfId="0" applyNumberFormat="1" applyFont="1" applyFill="1" applyProtection="1">
      <protection hidden="1"/>
    </xf>
    <xf numFmtId="165" fontId="5" fillId="11" borderId="7" xfId="0" applyNumberFormat="1" applyFont="1" applyFill="1" applyBorder="1" applyProtection="1">
      <protection hidden="1"/>
    </xf>
    <xf numFmtId="164" fontId="5" fillId="11" borderId="0" xfId="0" applyNumberFormat="1" applyFont="1" applyFill="1" applyProtection="1">
      <protection hidden="1"/>
    </xf>
    <xf numFmtId="164" fontId="5" fillId="11" borderId="7" xfId="0" applyNumberFormat="1" applyFont="1" applyFill="1" applyBorder="1" applyProtection="1">
      <protection hidden="1"/>
    </xf>
    <xf numFmtId="0" fontId="0" fillId="0" borderId="0" xfId="0" applyProtection="1">
      <protection locked="0" hidden="1"/>
    </xf>
    <xf numFmtId="0" fontId="0" fillId="8" borderId="0" xfId="0" applyFill="1" applyBorder="1" applyAlignment="1" applyProtection="1">
      <alignment horizontal="left"/>
    </xf>
    <xf numFmtId="0" fontId="0" fillId="8" borderId="0" xfId="0" applyFill="1" applyBorder="1" applyAlignment="1" applyProtection="1">
      <alignment horizontal="center"/>
    </xf>
    <xf numFmtId="0" fontId="0" fillId="8" borderId="0" xfId="0" applyFill="1" applyAlignment="1" applyProtection="1">
      <alignment horizontal="left"/>
    </xf>
    <xf numFmtId="0" fontId="0" fillId="8" borderId="0" xfId="0" applyFill="1" applyProtection="1"/>
    <xf numFmtId="44" fontId="4" fillId="8" borderId="7" xfId="1" applyFont="1" applyFill="1" applyBorder="1" applyProtection="1"/>
    <xf numFmtId="0" fontId="0" fillId="8" borderId="0" xfId="0" applyFill="1" applyBorder="1" applyAlignment="1" applyProtection="1"/>
    <xf numFmtId="0" fontId="0" fillId="8" borderId="0" xfId="0" applyFont="1" applyFill="1" applyBorder="1" applyAlignment="1" applyProtection="1">
      <alignment horizontal="left"/>
    </xf>
    <xf numFmtId="0" fontId="3" fillId="8" borderId="0" xfId="0" applyFont="1" applyFill="1" applyBorder="1" applyAlignment="1" applyProtection="1">
      <alignment horizontal="center"/>
    </xf>
    <xf numFmtId="164" fontId="0" fillId="8" borderId="0" xfId="1" applyNumberFormat="1" applyFont="1" applyFill="1" applyBorder="1" applyAlignment="1" applyProtection="1"/>
    <xf numFmtId="44" fontId="0" fillId="8" borderId="10" xfId="1" applyFont="1" applyFill="1" applyBorder="1" applyAlignment="1" applyProtection="1"/>
    <xf numFmtId="44" fontId="0" fillId="8" borderId="0" xfId="1" applyFont="1" applyFill="1" applyBorder="1" applyAlignment="1" applyProtection="1"/>
    <xf numFmtId="0" fontId="0" fillId="8" borderId="0" xfId="0" applyFont="1" applyFill="1" applyBorder="1" applyAlignment="1" applyProtection="1"/>
    <xf numFmtId="44" fontId="0" fillId="8" borderId="7" xfId="1" applyFont="1" applyFill="1" applyBorder="1" applyProtection="1"/>
    <xf numFmtId="44" fontId="0" fillId="8" borderId="7" xfId="1" applyFont="1" applyFill="1" applyBorder="1" applyAlignment="1" applyProtection="1"/>
    <xf numFmtId="44" fontId="1" fillId="8" borderId="7" xfId="1" applyFont="1" applyFill="1" applyBorder="1" applyAlignment="1" applyProtection="1"/>
    <xf numFmtId="165" fontId="4" fillId="8" borderId="7" xfId="1" applyNumberFormat="1" applyFont="1" applyFill="1" applyBorder="1" applyAlignment="1" applyProtection="1"/>
    <xf numFmtId="1" fontId="0" fillId="8" borderId="14" xfId="0" applyNumberFormat="1" applyFill="1" applyBorder="1" applyAlignment="1" applyProtection="1">
      <alignment horizontal="center"/>
    </xf>
    <xf numFmtId="1" fontId="0" fillId="8" borderId="21" xfId="0" applyNumberFormat="1" applyFill="1" applyBorder="1" applyAlignment="1" applyProtection="1">
      <alignment horizontal="center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44" fontId="0" fillId="4" borderId="2" xfId="1" applyFont="1" applyFill="1" applyBorder="1" applyProtection="1">
      <protection locked="0"/>
    </xf>
    <xf numFmtId="1" fontId="0" fillId="0" borderId="0" xfId="1" applyNumberFormat="1" applyFont="1" applyBorder="1" applyAlignment="1" applyProtection="1">
      <alignment horizontal="center"/>
      <protection locked="0"/>
    </xf>
    <xf numFmtId="44" fontId="4" fillId="0" borderId="7" xfId="1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0" fillId="0" borderId="0" xfId="1" applyFont="1" applyFill="1" applyBorder="1" applyAlignment="1" applyProtection="1">
      <protection locked="0"/>
    </xf>
    <xf numFmtId="1" fontId="0" fillId="0" borderId="0" xfId="1" applyNumberFormat="1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center"/>
      <protection locked="0"/>
    </xf>
    <xf numFmtId="44" fontId="0" fillId="0" borderId="7" xfId="1" applyFont="1" applyBorder="1" applyProtection="1">
      <protection locked="0"/>
    </xf>
    <xf numFmtId="0" fontId="0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44" fontId="0" fillId="0" borderId="0" xfId="1" applyFont="1" applyBorder="1" applyAlignment="1" applyProtection="1">
      <protection locked="0"/>
    </xf>
    <xf numFmtId="44" fontId="0" fillId="0" borderId="10" xfId="1" applyFont="1" applyBorder="1" applyAlignment="1" applyProtection="1">
      <protection locked="0"/>
    </xf>
    <xf numFmtId="0" fontId="0" fillId="0" borderId="0" xfId="0" applyFont="1" applyBorder="1" applyAlignment="1" applyProtection="1">
      <alignment horizontal="center"/>
      <protection locked="0"/>
    </xf>
    <xf numFmtId="44" fontId="1" fillId="0" borderId="7" xfId="1" applyFont="1" applyBorder="1" applyProtection="1">
      <protection locked="0"/>
    </xf>
    <xf numFmtId="44" fontId="1" fillId="0" borderId="0" xfId="1" applyFont="1" applyBorder="1" applyAlignment="1" applyProtection="1">
      <protection locked="0"/>
    </xf>
    <xf numFmtId="1" fontId="1" fillId="0" borderId="0" xfId="1" applyNumberFormat="1" applyFont="1" applyBorder="1" applyAlignment="1" applyProtection="1">
      <alignment horizontal="center"/>
      <protection locked="0"/>
    </xf>
    <xf numFmtId="0" fontId="0" fillId="0" borderId="9" xfId="0" applyFill="1" applyBorder="1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165" fontId="4" fillId="0" borderId="7" xfId="1" applyNumberFormat="1" applyFont="1" applyBorder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/>
      <protection locked="0"/>
    </xf>
    <xf numFmtId="165" fontId="4" fillId="0" borderId="0" xfId="1" applyNumberFormat="1" applyFont="1" applyBorder="1" applyAlignment="1" applyProtection="1">
      <protection locked="0"/>
    </xf>
    <xf numFmtId="1" fontId="4" fillId="0" borderId="0" xfId="1" applyNumberFormat="1" applyFont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165" fontId="4" fillId="0" borderId="7" xfId="1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protection locked="0"/>
    </xf>
    <xf numFmtId="165" fontId="4" fillId="0" borderId="0" xfId="1" applyNumberFormat="1" applyFont="1" applyFill="1" applyBorder="1" applyAlignment="1" applyProtection="1">
      <protection locked="0"/>
    </xf>
    <xf numFmtId="1" fontId="4" fillId="0" borderId="0" xfId="1" applyNumberFormat="1" applyFont="1" applyFill="1" applyBorder="1" applyAlignment="1" applyProtection="1">
      <alignment horizontal="center" vertical="center"/>
      <protection locked="0"/>
    </xf>
    <xf numFmtId="44" fontId="4" fillId="0" borderId="0" xfId="1" applyFont="1" applyFill="1" applyBorder="1" applyAlignment="1" applyProtection="1">
      <protection locked="0"/>
    </xf>
    <xf numFmtId="0" fontId="4" fillId="0" borderId="10" xfId="0" applyFont="1" applyFill="1" applyBorder="1" applyAlignment="1" applyProtection="1">
      <protection locked="0"/>
    </xf>
    <xf numFmtId="0" fontId="4" fillId="0" borderId="10" xfId="0" applyFont="1" applyFill="1" applyBorder="1" applyAlignment="1" applyProtection="1">
      <alignment horizontal="left"/>
      <protection locked="0"/>
    </xf>
    <xf numFmtId="44" fontId="4" fillId="0" borderId="10" xfId="1" applyFont="1" applyFill="1" applyBorder="1" applyAlignment="1" applyProtection="1">
      <protection locked="0"/>
    </xf>
    <xf numFmtId="165" fontId="2" fillId="5" borderId="0" xfId="0" applyNumberFormat="1" applyFont="1" applyFill="1" applyProtection="1"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1" fontId="0" fillId="4" borderId="14" xfId="0" applyNumberFormat="1" applyFill="1" applyBorder="1" applyAlignment="1" applyProtection="1">
      <alignment horizontal="center"/>
      <protection locked="0"/>
    </xf>
    <xf numFmtId="44" fontId="0" fillId="4" borderId="14" xfId="1" applyFon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44" fontId="0" fillId="4" borderId="21" xfId="1" applyFont="1" applyFill="1" applyBorder="1" applyProtection="1">
      <protection locked="0"/>
    </xf>
    <xf numFmtId="0" fontId="0" fillId="0" borderId="9" xfId="0" applyBorder="1" applyProtection="1">
      <protection hidden="1"/>
    </xf>
    <xf numFmtId="0" fontId="7" fillId="6" borderId="9" xfId="0" applyFont="1" applyFill="1" applyBorder="1" applyProtection="1">
      <protection hidden="1"/>
    </xf>
    <xf numFmtId="0" fontId="7" fillId="6" borderId="12" xfId="0" applyFont="1" applyFill="1" applyBorder="1" applyProtection="1">
      <protection hidden="1"/>
    </xf>
    <xf numFmtId="0" fontId="5" fillId="11" borderId="0" xfId="0" applyFont="1" applyFill="1" applyProtection="1">
      <protection hidden="1"/>
    </xf>
    <xf numFmtId="0" fontId="5" fillId="11" borderId="7" xfId="0" applyFont="1" applyFill="1" applyBorder="1" applyProtection="1">
      <protection hidden="1"/>
    </xf>
    <xf numFmtId="0" fontId="0" fillId="0" borderId="0" xfId="0" applyFill="1" applyBorder="1" applyProtection="1">
      <protection locked="0"/>
    </xf>
    <xf numFmtId="0" fontId="0" fillId="10" borderId="0" xfId="0" applyFill="1" applyProtection="1">
      <protection locked="0"/>
    </xf>
    <xf numFmtId="0" fontId="11" fillId="10" borderId="0" xfId="0" applyFont="1" applyFill="1" applyBorder="1" applyProtection="1">
      <protection locked="0"/>
    </xf>
    <xf numFmtId="0" fontId="9" fillId="10" borderId="0" xfId="0" applyFont="1" applyFill="1" applyBorder="1" applyProtection="1">
      <protection locked="0"/>
    </xf>
    <xf numFmtId="0" fontId="0" fillId="10" borderId="5" xfId="0" applyFill="1" applyBorder="1" applyProtection="1">
      <protection locked="0"/>
    </xf>
    <xf numFmtId="0" fontId="0" fillId="10" borderId="4" xfId="0" applyFill="1" applyBorder="1" applyProtection="1">
      <protection locked="0"/>
    </xf>
    <xf numFmtId="0" fontId="0" fillId="10" borderId="6" xfId="0" applyFill="1" applyBorder="1" applyProtection="1">
      <protection locked="0"/>
    </xf>
    <xf numFmtId="0" fontId="0" fillId="10" borderId="10" xfId="0" applyFill="1" applyBorder="1" applyProtection="1">
      <protection locked="0"/>
    </xf>
    <xf numFmtId="0" fontId="0" fillId="10" borderId="0" xfId="0" applyFill="1" applyBorder="1" applyProtection="1">
      <protection locked="0"/>
    </xf>
    <xf numFmtId="0" fontId="0" fillId="10" borderId="7" xfId="0" applyFill="1" applyBorder="1" applyProtection="1">
      <protection locked="0"/>
    </xf>
    <xf numFmtId="0" fontId="8" fillId="10" borderId="0" xfId="0" applyFont="1" applyFill="1" applyBorder="1" applyProtection="1">
      <protection locked="0"/>
    </xf>
    <xf numFmtId="0" fontId="8" fillId="10" borderId="7" xfId="0" applyFont="1" applyFill="1" applyBorder="1" applyProtection="1">
      <protection locked="0"/>
    </xf>
    <xf numFmtId="1" fontId="0" fillId="4" borderId="6" xfId="0" applyNumberFormat="1" applyFill="1" applyBorder="1" applyProtection="1">
      <protection locked="0"/>
    </xf>
    <xf numFmtId="9" fontId="0" fillId="4" borderId="7" xfId="2" applyFont="1" applyFill="1" applyBorder="1" applyProtection="1">
      <protection locked="0"/>
    </xf>
    <xf numFmtId="164" fontId="0" fillId="4" borderId="7" xfId="0" applyNumberFormat="1" applyFill="1" applyBorder="1" applyProtection="1">
      <protection locked="0"/>
    </xf>
    <xf numFmtId="0" fontId="0" fillId="10" borderId="8" xfId="0" applyFill="1" applyBorder="1" applyProtection="1">
      <protection locked="0"/>
    </xf>
    <xf numFmtId="0" fontId="0" fillId="10" borderId="9" xfId="0" applyFill="1" applyBorder="1" applyProtection="1">
      <protection locked="0"/>
    </xf>
    <xf numFmtId="0" fontId="0" fillId="10" borderId="12" xfId="0" applyFill="1" applyBorder="1" applyProtection="1">
      <protection locked="0"/>
    </xf>
    <xf numFmtId="2" fontId="0" fillId="12" borderId="7" xfId="2" applyNumberFormat="1" applyFont="1" applyFill="1" applyBorder="1" applyProtection="1"/>
    <xf numFmtId="164" fontId="0" fillId="12" borderId="12" xfId="0" applyNumberFormat="1" applyFill="1" applyBorder="1" applyProtection="1"/>
    <xf numFmtId="0" fontId="0" fillId="12" borderId="5" xfId="0" applyFill="1" applyBorder="1" applyProtection="1"/>
    <xf numFmtId="0" fontId="0" fillId="12" borderId="10" xfId="0" quotePrefix="1" applyFill="1" applyBorder="1" applyProtection="1"/>
    <xf numFmtId="0" fontId="0" fillId="12" borderId="10" xfId="0" applyFill="1" applyBorder="1" applyProtection="1"/>
    <xf numFmtId="0" fontId="0" fillId="12" borderId="8" xfId="0" applyFill="1" applyBorder="1" applyProtection="1"/>
    <xf numFmtId="0" fontId="10" fillId="0" borderId="0" xfId="3" applyAlignment="1" applyProtection="1">
      <alignment horizontal="center"/>
      <protection hidden="1"/>
    </xf>
    <xf numFmtId="0" fontId="10" fillId="0" borderId="0" xfId="3" applyAlignment="1" applyProtection="1">
      <alignment horizontal="center"/>
      <protection hidden="1"/>
    </xf>
    <xf numFmtId="0" fontId="19" fillId="0" borderId="22" xfId="3" applyFont="1" applyBorder="1" applyAlignment="1" applyProtection="1">
      <alignment vertical="center"/>
      <protection locked="0"/>
    </xf>
    <xf numFmtId="0" fontId="19" fillId="0" borderId="0" xfId="3" applyFont="1" applyBorder="1" applyAlignment="1" applyProtection="1">
      <alignment vertical="center"/>
      <protection locked="0"/>
    </xf>
    <xf numFmtId="0" fontId="20" fillId="12" borderId="0" xfId="0" applyFont="1" applyFill="1" applyProtection="1"/>
    <xf numFmtId="14" fontId="20" fillId="12" borderId="0" xfId="0" applyNumberFormat="1" applyFont="1" applyFill="1" applyProtection="1"/>
    <xf numFmtId="0" fontId="0" fillId="8" borderId="0" xfId="0" applyFont="1" applyFill="1" applyBorder="1" applyAlignment="1" applyProtection="1">
      <alignment horizontal="center"/>
    </xf>
    <xf numFmtId="0" fontId="12" fillId="0" borderId="0" xfId="0" applyFont="1" applyAlignment="1" applyProtection="1">
      <alignment horizontal="center"/>
      <protection locked="0"/>
    </xf>
    <xf numFmtId="164" fontId="0" fillId="8" borderId="14" xfId="0" applyNumberFormat="1" applyFill="1" applyBorder="1" applyProtection="1">
      <protection locked="0"/>
    </xf>
    <xf numFmtId="165" fontId="0" fillId="8" borderId="14" xfId="0" applyNumberFormat="1" applyFill="1" applyBorder="1" applyProtection="1"/>
    <xf numFmtId="165" fontId="0" fillId="4" borderId="14" xfId="1" applyNumberFormat="1" applyFont="1" applyFill="1" applyBorder="1" applyProtection="1">
      <protection locked="0"/>
    </xf>
    <xf numFmtId="165" fontId="0" fillId="4" borderId="21" xfId="1" applyNumberFormat="1" applyFont="1" applyFill="1" applyBorder="1" applyProtection="1">
      <protection locked="0"/>
    </xf>
    <xf numFmtId="1" fontId="0" fillId="4" borderId="6" xfId="0" applyNumberFormat="1" applyFill="1" applyBorder="1" applyAlignment="1" applyProtection="1">
      <alignment horizontal="center"/>
      <protection locked="0"/>
    </xf>
    <xf numFmtId="1" fontId="0" fillId="4" borderId="12" xfId="0" applyNumberFormat="1" applyFill="1" applyBorder="1" applyAlignment="1" applyProtection="1">
      <alignment horizontal="center"/>
      <protection locked="0"/>
    </xf>
    <xf numFmtId="165" fontId="22" fillId="2" borderId="7" xfId="0" applyNumberFormat="1" applyFont="1" applyFill="1" applyBorder="1" applyProtection="1"/>
    <xf numFmtId="0" fontId="0" fillId="8" borderId="1" xfId="0" applyFill="1" applyBorder="1" applyAlignment="1" applyProtection="1">
      <alignment horizontal="center" vertical="center" wrapText="1"/>
    </xf>
    <xf numFmtId="0" fontId="20" fillId="0" borderId="0" xfId="0" applyFont="1" applyFill="1" applyProtection="1"/>
    <xf numFmtId="14" fontId="20" fillId="0" borderId="0" xfId="0" applyNumberFormat="1" applyFont="1" applyFill="1" applyProtection="1"/>
    <xf numFmtId="0" fontId="0" fillId="0" borderId="0" xfId="0" applyProtection="1">
      <protection locked="0"/>
    </xf>
    <xf numFmtId="0" fontId="5" fillId="2" borderId="0" xfId="0" applyFont="1" applyFill="1" applyAlignment="1" applyProtection="1">
      <alignment horizontal="left"/>
    </xf>
    <xf numFmtId="0" fontId="5" fillId="2" borderId="0" xfId="0" applyFont="1" applyFill="1" applyProtection="1"/>
    <xf numFmtId="0" fontId="6" fillId="2" borderId="0" xfId="0" applyFont="1" applyFill="1" applyAlignment="1" applyProtection="1">
      <alignment horizontal="center"/>
    </xf>
    <xf numFmtId="0" fontId="5" fillId="2" borderId="0" xfId="0" applyFont="1" applyFill="1" applyBorder="1" applyProtection="1"/>
    <xf numFmtId="165" fontId="7" fillId="2" borderId="0" xfId="0" applyNumberFormat="1" applyFont="1" applyFill="1" applyBorder="1" applyProtection="1"/>
    <xf numFmtId="2" fontId="7" fillId="2" borderId="0" xfId="0" applyNumberFormat="1" applyFont="1" applyFill="1" applyBorder="1" applyAlignment="1" applyProtection="1">
      <alignment horizontal="center" vertical="center"/>
    </xf>
    <xf numFmtId="164" fontId="0" fillId="4" borderId="3" xfId="0" applyNumberFormat="1" applyFill="1" applyBorder="1" applyProtection="1">
      <protection locked="0"/>
    </xf>
    <xf numFmtId="0" fontId="2" fillId="13" borderId="8" xfId="0" applyFont="1" applyFill="1" applyBorder="1" applyAlignment="1" applyProtection="1">
      <alignment vertical="center"/>
    </xf>
    <xf numFmtId="0" fontId="2" fillId="13" borderId="9" xfId="0" applyFont="1" applyFill="1" applyBorder="1" applyAlignment="1" applyProtection="1">
      <alignment horizontal="center" vertical="center"/>
    </xf>
    <xf numFmtId="0" fontId="2" fillId="13" borderId="12" xfId="0" applyFont="1" applyFill="1" applyBorder="1" applyAlignment="1" applyProtection="1">
      <alignment horizontal="center" vertical="center"/>
    </xf>
    <xf numFmtId="0" fontId="5" fillId="13" borderId="0" xfId="0" applyFont="1" applyFill="1" applyAlignment="1" applyProtection="1">
      <alignment horizontal="left"/>
      <protection locked="0"/>
    </xf>
    <xf numFmtId="0" fontId="5" fillId="13" borderId="0" xfId="0" applyFont="1" applyFill="1" applyProtection="1">
      <protection locked="0"/>
    </xf>
    <xf numFmtId="44" fontId="5" fillId="13" borderId="7" xfId="0" applyNumberFormat="1" applyFont="1" applyFill="1" applyBorder="1" applyProtection="1">
      <protection locked="0"/>
    </xf>
    <xf numFmtId="0" fontId="5" fillId="13" borderId="0" xfId="0" applyFont="1" applyFill="1" applyAlignment="1" applyProtection="1">
      <protection locked="0"/>
    </xf>
    <xf numFmtId="0" fontId="6" fillId="13" borderId="0" xfId="0" applyFont="1" applyFill="1" applyAlignment="1" applyProtection="1">
      <alignment horizontal="center"/>
      <protection locked="0"/>
    </xf>
    <xf numFmtId="44" fontId="5" fillId="13" borderId="0" xfId="0" applyNumberFormat="1" applyFont="1" applyFill="1" applyBorder="1" applyAlignment="1" applyProtection="1">
      <protection locked="0"/>
    </xf>
    <xf numFmtId="0" fontId="5" fillId="13" borderId="10" xfId="0" applyFont="1" applyFill="1" applyBorder="1" applyProtection="1">
      <protection locked="0"/>
    </xf>
    <xf numFmtId="44" fontId="5" fillId="13" borderId="0" xfId="0" applyNumberFormat="1" applyFont="1" applyFill="1" applyBorder="1" applyProtection="1">
      <protection locked="0"/>
    </xf>
    <xf numFmtId="0" fontId="5" fillId="13" borderId="0" xfId="0" applyFont="1" applyFill="1" applyBorder="1" applyProtection="1">
      <protection locked="0"/>
    </xf>
    <xf numFmtId="165" fontId="4" fillId="0" borderId="7" xfId="1" applyNumberFormat="1" applyFont="1" applyBorder="1" applyAlignment="1" applyProtection="1">
      <alignment horizontal="right"/>
      <protection locked="0"/>
    </xf>
    <xf numFmtId="165" fontId="4" fillId="0" borderId="7" xfId="1" applyNumberFormat="1" applyFont="1" applyFill="1" applyBorder="1" applyAlignment="1" applyProtection="1">
      <alignment horizontal="right"/>
      <protection locked="0"/>
    </xf>
    <xf numFmtId="165" fontId="5" fillId="2" borderId="7" xfId="0" applyNumberFormat="1" applyFont="1" applyFill="1" applyBorder="1" applyAlignment="1" applyProtection="1">
      <alignment horizontal="right"/>
    </xf>
    <xf numFmtId="0" fontId="10" fillId="10" borderId="0" xfId="3" applyFill="1" applyBorder="1" applyAlignment="1" applyProtection="1">
      <alignment horizontal="center"/>
    </xf>
    <xf numFmtId="2" fontId="0" fillId="4" borderId="6" xfId="0" applyNumberFormat="1" applyFill="1" applyBorder="1" applyProtection="1">
      <protection locked="0"/>
    </xf>
    <xf numFmtId="166" fontId="0" fillId="4" borderId="7" xfId="0" applyNumberFormat="1" applyFill="1" applyBorder="1" applyProtection="1">
      <protection locked="0"/>
    </xf>
    <xf numFmtId="166" fontId="0" fillId="4" borderId="12" xfId="0" applyNumberFormat="1" applyFill="1" applyBorder="1" applyProtection="1">
      <protection locked="0"/>
    </xf>
    <xf numFmtId="0" fontId="0" fillId="10" borderId="0" xfId="0" applyNumberFormat="1" applyFill="1" applyProtection="1">
      <protection locked="0"/>
    </xf>
    <xf numFmtId="0" fontId="26" fillId="10" borderId="0" xfId="0" applyFont="1" applyFill="1" applyBorder="1" applyAlignment="1" applyProtection="1">
      <protection locked="0"/>
    </xf>
    <xf numFmtId="0" fontId="0" fillId="0" borderId="13" xfId="0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  <protection locked="0" hidden="1"/>
    </xf>
    <xf numFmtId="166" fontId="0" fillId="12" borderId="12" xfId="0" applyNumberFormat="1" applyFill="1" applyBorder="1" applyProtection="1"/>
    <xf numFmtId="0" fontId="24" fillId="14" borderId="1" xfId="0" applyFont="1" applyFill="1" applyBorder="1" applyProtection="1">
      <protection hidden="1"/>
    </xf>
    <xf numFmtId="0" fontId="24" fillId="14" borderId="2" xfId="0" applyFont="1" applyFill="1" applyBorder="1" applyProtection="1">
      <protection hidden="1"/>
    </xf>
    <xf numFmtId="0" fontId="8" fillId="0" borderId="0" xfId="0" applyFont="1" applyProtection="1">
      <protection locked="0"/>
    </xf>
    <xf numFmtId="165" fontId="0" fillId="4" borderId="14" xfId="0" applyNumberFormat="1" applyFill="1" applyBorder="1" applyProtection="1">
      <protection locked="0"/>
    </xf>
    <xf numFmtId="165" fontId="0" fillId="3" borderId="15" xfId="0" applyNumberFormat="1" applyFill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8" borderId="23" xfId="0" applyNumberFormat="1" applyFill="1" applyBorder="1" applyAlignment="1" applyProtection="1">
      <alignment vertical="center"/>
    </xf>
    <xf numFmtId="165" fontId="0" fillId="4" borderId="3" xfId="0" applyNumberFormat="1" applyFill="1" applyBorder="1" applyAlignment="1" applyProtection="1">
      <alignment vertical="center"/>
      <protection locked="0"/>
    </xf>
    <xf numFmtId="165" fontId="0" fillId="8" borderId="24" xfId="1" applyNumberFormat="1" applyFont="1" applyFill="1" applyBorder="1" applyProtection="1"/>
    <xf numFmtId="0" fontId="0" fillId="0" borderId="11" xfId="0" applyBorder="1" applyAlignment="1" applyProtection="1">
      <alignment horizontal="center" vertical="center"/>
    </xf>
    <xf numFmtId="0" fontId="3" fillId="0" borderId="0" xfId="0" applyFont="1" applyProtection="1">
      <protection locked="0"/>
    </xf>
    <xf numFmtId="49" fontId="0" fillId="4" borderId="13" xfId="0" applyNumberFormat="1" applyFill="1" applyBorder="1" applyAlignment="1" applyProtection="1">
      <alignment horizontal="center"/>
      <protection locked="0"/>
    </xf>
    <xf numFmtId="165" fontId="0" fillId="0" borderId="13" xfId="0" applyNumberFormat="1" applyFill="1" applyBorder="1" applyAlignment="1" applyProtection="1">
      <alignment horizontal="center"/>
      <protection locked="0"/>
    </xf>
    <xf numFmtId="165" fontId="0" fillId="0" borderId="13" xfId="0" applyNumberFormat="1" applyFill="1" applyBorder="1" applyProtection="1">
      <protection locked="0"/>
    </xf>
    <xf numFmtId="49" fontId="0" fillId="4" borderId="14" xfId="0" applyNumberFormat="1" applyFill="1" applyBorder="1" applyAlignment="1" applyProtection="1">
      <alignment horizontal="center"/>
      <protection locked="0"/>
    </xf>
    <xf numFmtId="165" fontId="0" fillId="0" borderId="14" xfId="0" applyNumberFormat="1" applyFill="1" applyBorder="1" applyAlignment="1" applyProtection="1">
      <alignment horizontal="center"/>
      <protection locked="0"/>
    </xf>
    <xf numFmtId="165" fontId="0" fillId="0" borderId="14" xfId="0" applyNumberFormat="1" applyFill="1" applyBorder="1" applyProtection="1">
      <protection locked="0"/>
    </xf>
    <xf numFmtId="49" fontId="0" fillId="4" borderId="21" xfId="0" applyNumberFormat="1" applyFill="1" applyBorder="1" applyAlignment="1" applyProtection="1">
      <alignment horizontal="center"/>
      <protection locked="0"/>
    </xf>
    <xf numFmtId="165" fontId="0" fillId="0" borderId="21" xfId="0" applyNumberFormat="1" applyFill="1" applyBorder="1" applyAlignment="1" applyProtection="1">
      <alignment horizontal="center"/>
      <protection locked="0"/>
    </xf>
    <xf numFmtId="165" fontId="0" fillId="0" borderId="21" xfId="0" applyNumberFormat="1" applyFill="1" applyBorder="1" applyProtection="1">
      <protection locked="0"/>
    </xf>
    <xf numFmtId="49" fontId="0" fillId="8" borderId="7" xfId="0" applyNumberFormat="1" applyFill="1" applyBorder="1" applyAlignment="1" applyProtection="1">
      <alignment horizontal="center"/>
    </xf>
    <xf numFmtId="44" fontId="0" fillId="0" borderId="0" xfId="1" applyFont="1" applyAlignment="1" applyProtection="1">
      <protection locked="0"/>
    </xf>
    <xf numFmtId="0" fontId="13" fillId="7" borderId="5" xfId="3" applyFont="1" applyFill="1" applyBorder="1" applyAlignment="1" applyProtection="1">
      <alignment horizontal="center" vertical="center"/>
      <protection locked="0"/>
    </xf>
    <xf numFmtId="0" fontId="13" fillId="7" borderId="4" xfId="3" applyFont="1" applyFill="1" applyBorder="1" applyAlignment="1" applyProtection="1">
      <alignment horizontal="center" vertical="center"/>
      <protection locked="0"/>
    </xf>
    <xf numFmtId="0" fontId="13" fillId="7" borderId="6" xfId="3" applyFont="1" applyFill="1" applyBorder="1" applyAlignment="1" applyProtection="1">
      <alignment horizontal="center" vertical="center"/>
      <protection locked="0"/>
    </xf>
    <xf numFmtId="0" fontId="13" fillId="7" borderId="8" xfId="3" applyFont="1" applyFill="1" applyBorder="1" applyAlignment="1" applyProtection="1">
      <alignment horizontal="center" vertical="center"/>
      <protection locked="0"/>
    </xf>
    <xf numFmtId="0" fontId="13" fillId="7" borderId="9" xfId="3" applyFont="1" applyFill="1" applyBorder="1" applyAlignment="1" applyProtection="1">
      <alignment horizontal="center" vertical="center"/>
      <protection locked="0"/>
    </xf>
    <xf numFmtId="0" fontId="13" fillId="7" borderId="12" xfId="3" applyFont="1" applyFill="1" applyBorder="1" applyAlignment="1" applyProtection="1">
      <alignment horizontal="center" vertical="center"/>
      <protection locked="0"/>
    </xf>
    <xf numFmtId="0" fontId="2" fillId="13" borderId="5" xfId="0" applyFont="1" applyFill="1" applyBorder="1" applyAlignment="1" applyProtection="1">
      <alignment horizontal="center" vertical="center"/>
    </xf>
    <xf numFmtId="0" fontId="2" fillId="13" borderId="4" xfId="0" applyFont="1" applyFill="1" applyBorder="1" applyAlignment="1" applyProtection="1">
      <alignment horizontal="center" vertical="center"/>
    </xf>
    <xf numFmtId="0" fontId="2" fillId="13" borderId="6" xfId="0" applyFont="1" applyFill="1" applyBorder="1" applyAlignment="1" applyProtection="1">
      <alignment horizontal="center" vertical="center"/>
    </xf>
    <xf numFmtId="0" fontId="5" fillId="13" borderId="1" xfId="0" applyFont="1" applyFill="1" applyBorder="1" applyAlignment="1" applyProtection="1">
      <alignment horizontal="center"/>
    </xf>
    <xf numFmtId="0" fontId="5" fillId="13" borderId="2" xfId="0" applyFont="1" applyFill="1" applyBorder="1" applyAlignment="1" applyProtection="1">
      <alignment horizontal="center"/>
    </xf>
    <xf numFmtId="0" fontId="5" fillId="13" borderId="3" xfId="0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7" xfId="0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2" fillId="13" borderId="8" xfId="0" applyFont="1" applyFill="1" applyBorder="1" applyAlignment="1" applyProtection="1">
      <alignment horizontal="center" vertical="center"/>
    </xf>
    <xf numFmtId="0" fontId="2" fillId="13" borderId="9" xfId="0" applyFont="1" applyFill="1" applyBorder="1" applyAlignment="1" applyProtection="1">
      <alignment horizontal="center" vertical="center"/>
    </xf>
    <xf numFmtId="0" fontId="2" fillId="13" borderId="12" xfId="0" applyFont="1" applyFill="1" applyBorder="1" applyAlignment="1" applyProtection="1">
      <alignment horizontal="center" vertical="center"/>
    </xf>
    <xf numFmtId="0" fontId="17" fillId="11" borderId="0" xfId="0" applyFont="1" applyFill="1" applyBorder="1" applyAlignment="1" applyProtection="1">
      <alignment horizontal="center"/>
      <protection locked="0"/>
    </xf>
    <xf numFmtId="0" fontId="17" fillId="9" borderId="0" xfId="0" applyFont="1" applyFill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7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horizontal="center" vertical="top"/>
      <protection locked="0"/>
    </xf>
    <xf numFmtId="0" fontId="0" fillId="0" borderId="0" xfId="0" applyBorder="1" applyAlignment="1" applyProtection="1">
      <alignment horizontal="center" vertical="top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2" fillId="8" borderId="1" xfId="1" applyNumberFormat="1" applyFont="1" applyFill="1" applyBorder="1" applyAlignment="1" applyProtection="1">
      <alignment horizontal="center"/>
    </xf>
    <xf numFmtId="0" fontId="2" fillId="8" borderId="2" xfId="1" applyNumberFormat="1" applyFont="1" applyFill="1" applyBorder="1" applyAlignment="1" applyProtection="1">
      <alignment horizontal="center"/>
    </xf>
    <xf numFmtId="0" fontId="17" fillId="8" borderId="1" xfId="0" applyFont="1" applyFill="1" applyBorder="1" applyAlignment="1" applyProtection="1">
      <alignment horizontal="center"/>
      <protection locked="0"/>
    </xf>
    <xf numFmtId="0" fontId="17" fillId="8" borderId="2" xfId="0" applyFont="1" applyFill="1" applyBorder="1" applyAlignment="1" applyProtection="1">
      <alignment horizontal="center"/>
      <protection locked="0"/>
    </xf>
    <xf numFmtId="0" fontId="28" fillId="15" borderId="0" xfId="0" applyFont="1" applyFill="1" applyAlignment="1" applyProtection="1">
      <alignment horizontal="center"/>
      <protection locked="0"/>
    </xf>
    <xf numFmtId="0" fontId="19" fillId="0" borderId="0" xfId="3" applyFont="1" applyBorder="1" applyAlignment="1" applyProtection="1">
      <alignment horizontal="center" vertical="center"/>
      <protection locked="0"/>
    </xf>
    <xf numFmtId="0" fontId="2" fillId="8" borderId="8" xfId="0" applyFont="1" applyFill="1" applyBorder="1" applyAlignment="1" applyProtection="1">
      <alignment horizontal="center"/>
    </xf>
    <xf numFmtId="0" fontId="2" fillId="8" borderId="9" xfId="0" applyFont="1" applyFill="1" applyBorder="1" applyAlignment="1" applyProtection="1">
      <alignment horizontal="center"/>
    </xf>
    <xf numFmtId="0" fontId="2" fillId="8" borderId="5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  <protection locked="0"/>
    </xf>
    <xf numFmtId="0" fontId="2" fillId="0" borderId="2" xfId="0" applyFont="1" applyFill="1" applyBorder="1" applyAlignment="1" applyProtection="1">
      <alignment horizontal="center"/>
      <protection locked="0"/>
    </xf>
    <xf numFmtId="0" fontId="5" fillId="5" borderId="18" xfId="0" applyFont="1" applyFill="1" applyBorder="1" applyAlignment="1" applyProtection="1">
      <alignment horizontal="center" vertical="center"/>
      <protection locked="0"/>
    </xf>
    <xf numFmtId="0" fontId="5" fillId="5" borderId="20" xfId="0" applyFont="1" applyFill="1" applyBorder="1" applyAlignment="1" applyProtection="1">
      <alignment horizontal="center" vertical="center"/>
      <protection locked="0"/>
    </xf>
    <xf numFmtId="0" fontId="0" fillId="5" borderId="20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10" fillId="10" borderId="0" xfId="3" applyFill="1" applyBorder="1" applyAlignment="1" applyProtection="1">
      <alignment horizontal="center"/>
    </xf>
    <xf numFmtId="0" fontId="10" fillId="10" borderId="7" xfId="3" applyFill="1" applyBorder="1" applyAlignment="1" applyProtection="1">
      <alignment horizontal="center"/>
    </xf>
    <xf numFmtId="0" fontId="25" fillId="10" borderId="8" xfId="0" applyFont="1" applyFill="1" applyBorder="1" applyAlignment="1" applyProtection="1">
      <alignment horizontal="center"/>
      <protection locked="0"/>
    </xf>
    <xf numFmtId="0" fontId="25" fillId="10" borderId="9" xfId="0" applyFont="1" applyFill="1" applyBorder="1" applyAlignment="1" applyProtection="1">
      <alignment horizontal="center"/>
      <protection locked="0"/>
    </xf>
    <xf numFmtId="0" fontId="27" fillId="10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0" fontId="7" fillId="6" borderId="2" xfId="0" applyFont="1" applyFill="1" applyBorder="1" applyAlignment="1" applyProtection="1">
      <alignment horizontal="center"/>
      <protection hidden="1"/>
    </xf>
    <xf numFmtId="0" fontId="7" fillId="6" borderId="3" xfId="0" applyFont="1" applyFill="1" applyBorder="1" applyAlignment="1" applyProtection="1">
      <alignment horizontal="center"/>
      <protection hidden="1"/>
    </xf>
    <xf numFmtId="0" fontId="23" fillId="5" borderId="0" xfId="3" applyFont="1" applyFill="1" applyAlignment="1" applyProtection="1">
      <alignment horizontal="center"/>
      <protection hidden="1"/>
    </xf>
  </cellXfs>
  <cellStyles count="4">
    <cellStyle name="Hiperłącze" xfId="3" builtinId="8"/>
    <cellStyle name="Normalny" xfId="0" builtinId="0"/>
    <cellStyle name="Procentowy" xfId="2" builtinId="5"/>
    <cellStyle name="Walutowy" xfId="1" builtinId="4"/>
  </cellStyles>
  <dxfs count="13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9" tint="-0.249977111117893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4" formatCode="_-* #,##0.00\ [$zł-415]_-;\-* #,##0.00\ [$zł-415]_-;_-* &quot;-&quot;??\ [$zł-415]_-;_-@_-"/>
      <fill>
        <patternFill patternType="solid">
          <fgColor indexed="64"/>
          <bgColor theme="3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4" formatCode="_-* #,##0.00\ [$zł-415]_-;\-* #,##0.00\ [$zł-415]_-;_-* &quot;-&quot;??\ [$zł-415]_-;_-@_-"/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/>
        </patternFill>
      </fill>
      <protection locked="1" hidden="1"/>
    </dxf>
    <dxf>
      <protection locked="0" hidden="0"/>
    </dxf>
    <dxf>
      <protection locked="0" hidden="1"/>
    </dxf>
    <dxf>
      <protection locked="0" hidden="1"/>
    </dxf>
    <dxf>
      <protection locked="0" hidden="1"/>
    </dxf>
    <dxf>
      <numFmt numFmtId="167" formatCode="_-[$$-409]* #,##0.00_ ;_-[$$-409]* \-#,##0.00\ ;_-[$$-409]* &quot;-&quot;??_ ;_-@_ "/>
    </dxf>
    <dxf>
      <numFmt numFmtId="165" formatCode="_-[$€-2]\ * #,##0.00_-;\-[$€-2]\ * #,##0.00_-;_-[$€-2]\ * &quot;-&quot;??_-;_-@_-"/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numFmt numFmtId="165" formatCode="_-[$€-2]\ * #,##0.00_-;\-[$€-2]\ * #,##0.00_-;_-[$€-2]\ 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numFmt numFmtId="165" formatCode="_-[$€-2]\ * #,##0.00_-;\-[$€-2]\ * #,##0.00_-;_-[$€-2]\ * &quot;-&quot;??_-;_-@_-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numFmt numFmtId="165" formatCode="_-[$€-2]\ * #,##0.00_-;\-[$€-2]\ * #,##0.00_-;_-[$€-2]\ 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numFmt numFmtId="165" formatCode="_-[$€-2]\ * #,##0.00_-;\-[$€-2]\ * #,##0.00_-;_-[$€-2]\ 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numFmt numFmtId="165" formatCode="_-[$€-2]\ * #,##0.00_-;\-[$€-2]\ * #,##0.00_-;_-[$€-2]\ * &quot;-&quot;??_-;_-@_-"/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numFmt numFmtId="165" formatCode="_-[$€-2]\ * #,##0.00_-;\-[$€-2]\ * #,##0.00_-;_-[$€-2]\ * &quot;-&quot;??_-;_-@_-"/>
      <fill>
        <patternFill patternType="solid">
          <fgColor indexed="64"/>
          <bgColor theme="0" tint="-0.34998626667073579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numFmt numFmtId="1" formatCode="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auto="1"/>
        </top>
        <bottom style="medium">
          <color auto="1"/>
        </bottom>
      </border>
      <protection locked="1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fill>
        <patternFill patternType="solid">
          <fgColor indexed="64"/>
          <bgColor theme="0" tint="-0.34998626667073579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0"/>
    </dxf>
    <dxf>
      <numFmt numFmtId="165" formatCode="_-[$€-2]\ * #,##0.00_-;\-[$€-2]\ * #,##0.00_-;_-[$€-2]\ * &quot;-&quot;??_-;_-@_-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i val="0"/>
      </font>
      <numFmt numFmtId="1" formatCode="0"/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/>
      </border>
      <protection locked="1" hidden="0"/>
    </dxf>
    <dxf>
      <font>
        <i val="0"/>
      </font>
      <border outline="0">
        <left style="medium">
          <color indexed="64"/>
        </left>
        <right/>
      </border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1" hidden="0"/>
    </dxf>
    <dxf>
      <font>
        <i val="0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protection locked="1" hidden="0"/>
    </dxf>
    <dxf>
      <font>
        <i val="0"/>
      </font>
      <border>
        <left style="medium">
          <color indexed="64"/>
        </left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protection locked="1" hidden="0"/>
    </dxf>
    <dxf>
      <font>
        <i val="0"/>
      </font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protection locked="1" hidden="0"/>
    </dxf>
    <dxf>
      <font>
        <i val="0"/>
      </font>
      <border>
        <left style="medium">
          <color indexed="64"/>
        </left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5" formatCode="_-[$€-2]\ * #,##0.00_-;\-[$€-2]\ * #,##0.00_-;_-[$€-2]\ * &quot;-&quot;??_-;_-@_-"/>
      <fill>
        <patternFill patternType="solid">
          <fgColor indexed="64"/>
          <bgColor theme="3" tint="0.59999389629810485"/>
        </patternFill>
      </fill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i val="0"/>
      </font>
      <numFmt numFmtId="165" formatCode="_-[$€-2]\ * #,##0.00_-;\-[$€-2]\ * #,##0.00_-;_-[$€-2]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protection locked="1" hidden="0"/>
    </dxf>
    <dxf>
      <font>
        <i val="0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left" vertical="bottom" textRotation="0" wrapText="0" indent="0" justifyLastLine="0" shrinkToFit="0" readingOrder="0"/>
      <protection locked="1" hidden="0"/>
    </dxf>
    <dxf>
      <font>
        <i val="0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protection locked="0" hidden="0"/>
    </dxf>
    <dxf>
      <border outline="0">
        <top style="medium">
          <color indexed="64"/>
        </top>
      </border>
    </dxf>
    <dxf>
      <font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border diagonalUp="0" diagonalDown="0" outline="0">
        <left/>
        <right style="medium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zł&quot;_-;\-* #,##0.00\ &quot;zł&quot;_-;_-* &quot;-&quot;??\ &quot;zł&quot;_-;_-@_-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protection locked="0" hidden="0"/>
    </dxf>
    <dxf>
      <border outline="0">
        <top style="medium">
          <color indexed="64"/>
        </top>
      </border>
    </dxf>
    <dxf>
      <protection locked="0" hidden="0"/>
    </dxf>
    <dxf>
      <protection locked="0" hidden="0"/>
    </dxf>
    <dxf>
      <font>
        <color theme="0"/>
      </font>
      <fill>
        <patternFill>
          <bgColor theme="6" tint="-0.24994659260841701"/>
        </patternFill>
      </fill>
    </dxf>
    <dxf>
      <numFmt numFmtId="168" formatCode="[$$-540A]#,##0.00"/>
    </dxf>
    <dxf>
      <numFmt numFmtId="167" formatCode="_-[$$-409]* #,##0.00_ ;_-[$$-409]* \-#,##0.00\ ;_-[$$-409]* &quot;-&quot;??_ ;_-@_ "/>
    </dxf>
    <dxf>
      <font>
        <b/>
        <i val="0"/>
        <color theme="0"/>
      </font>
      <fill>
        <patternFill>
          <bgColor theme="6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numFmt numFmtId="167" formatCode="_-[$$-409]* #,##0.00_ ;_-[$$-409]* \-#,##0.00\ ;_-[$$-409]* &quot;-&quot;??_ ;_-@_ "/>
    </dxf>
    <dxf>
      <numFmt numFmtId="169" formatCode="_-[$$-540A]* #,##0.00_ ;_-[$$-540A]* \-#,##0.00\ ;_-[$$-540A]* &quot;-&quot;??_ ;_-@_ "/>
    </dxf>
    <dxf>
      <numFmt numFmtId="167" formatCode="_-[$$-409]* #,##0.00_ ;_-[$$-409]* \-#,##0.00\ ;_-[$$-409]* &quot;-&quot;??_ ;_-@_ "/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3" tint="0.5999633777886288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Link="'koszty autokaru'!$B$15" fmlaRange="'koszty autokaru'!$A$15:$A$16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11</xdr:row>
          <xdr:rowOff>76200</xdr:rowOff>
        </xdr:from>
        <xdr:to>
          <xdr:col>5</xdr:col>
          <xdr:colOff>904875</xdr:colOff>
          <xdr:row>11</xdr:row>
          <xdr:rowOff>266700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23</xdr:row>
          <xdr:rowOff>180975</xdr:rowOff>
        </xdr:from>
        <xdr:to>
          <xdr:col>3</xdr:col>
          <xdr:colOff>447675</xdr:colOff>
          <xdr:row>26</xdr:row>
          <xdr:rowOff>19050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8000"/>
                  </a:solidFill>
                  <a:latin typeface="Calibri"/>
                </a:rPr>
                <a:t>+ DODAJ NOWĄ USŁUGĘ PLN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40</xdr:row>
          <xdr:rowOff>114300</xdr:rowOff>
        </xdr:from>
        <xdr:to>
          <xdr:col>3</xdr:col>
          <xdr:colOff>447675</xdr:colOff>
          <xdr:row>42</xdr:row>
          <xdr:rowOff>123825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FF"/>
                  </a:solidFill>
                  <a:latin typeface="Calibri"/>
                </a:rPr>
                <a:t>- DODAJ NOWĄ USŁUGĘ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23</xdr:row>
          <xdr:rowOff>180975</xdr:rowOff>
        </xdr:from>
        <xdr:to>
          <xdr:col>9</xdr:col>
          <xdr:colOff>304800</xdr:colOff>
          <xdr:row>26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alibri"/>
                </a:rPr>
                <a:t>- USUŃ OSTATNIO DODANĄ USŁUGĘ (WIERSZ)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40</xdr:row>
          <xdr:rowOff>66675</xdr:rowOff>
        </xdr:from>
        <xdr:to>
          <xdr:col>9</xdr:col>
          <xdr:colOff>304800</xdr:colOff>
          <xdr:row>42</xdr:row>
          <xdr:rowOff>85725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alibri"/>
                </a:rPr>
                <a:t>- USUŃ OSTATNIO DODANĄ USŁUGĘ (WIERSZ)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12</xdr:row>
          <xdr:rowOff>38100</xdr:rowOff>
        </xdr:from>
        <xdr:to>
          <xdr:col>2</xdr:col>
          <xdr:colOff>666750</xdr:colOff>
          <xdr:row>13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339966"/>
                  </a:solidFill>
                  <a:latin typeface="Calibri"/>
                </a:rPr>
                <a:t>DODAJ NOWĄ USŁUGĘ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895350</xdr:colOff>
          <xdr:row>12</xdr:row>
          <xdr:rowOff>47625</xdr:rowOff>
        </xdr:from>
        <xdr:to>
          <xdr:col>5</xdr:col>
          <xdr:colOff>742950</xdr:colOff>
          <xdr:row>13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alibri"/>
                </a:rPr>
                <a:t>- USUŃ OSTATNIO DODANĄ USŁUGĘ (WIERSZ)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17:M23" headerRowCount="0" totalsRowCount="1" headerRowDxfId="118" dataDxfId="117" totalsRowDxfId="115" tableBorderDxfId="116">
  <tableColumns count="13">
    <tableColumn id="1" name="Kolumna1" totalsRowLabel="SUMA" headerRowDxfId="114" totalsRowDxfId="12"/>
    <tableColumn id="2" name="Kolumna2" headerRowDxfId="113" totalsRowDxfId="11"/>
    <tableColumn id="3" name="Kolumna3" totalsRowFunction="sum" headerRowDxfId="112" dataDxfId="111" totalsRowDxfId="10" dataCellStyle="Walutowy"/>
    <tableColumn id="4" name="Kolumna4" totalsRowLabel="SUMA" headerRowDxfId="110" totalsRowDxfId="9"/>
    <tableColumn id="5" name="Kolumna5" headerRowDxfId="109" totalsRowDxfId="8"/>
    <tableColumn id="6" name="Kolumna6" totalsRowFunction="sum" headerRowDxfId="108" totalsRowDxfId="7" dataCellStyle="Walutowy"/>
    <tableColumn id="7" name="Kolumna7" totalsRowLabel="SUMA" headerRowDxfId="107" totalsRowDxfId="6">
      <calculatedColumnFormula>IF('koszty autokaru'!E3=1,"AUTOKAR GŁÓWNY","")</calculatedColumnFormula>
    </tableColumn>
    <tableColumn id="8" name="Kolumna8" headerRowDxfId="106" totalsRowDxfId="5"/>
    <tableColumn id="9" name="Kolumna9" totalsRowFunction="sum" headerRowDxfId="105" totalsRowDxfId="4" dataCellStyle="Walutowy"/>
    <tableColumn id="11" name="Kolumna10" totalsRowLabel="SUMA" headerRowDxfId="104" dataDxfId="103" totalsRowDxfId="3" dataCellStyle="Walutowy"/>
    <tableColumn id="12" name="Kolumna11" headerRowDxfId="102" dataDxfId="101" totalsRowDxfId="2" dataCellStyle="Walutowy"/>
    <tableColumn id="13" name="Kolumna12" headerRowDxfId="100" dataDxfId="99" totalsRowDxfId="1" dataCellStyle="Walutowy"/>
    <tableColumn id="14" name="Kolumna13" totalsRowFunction="sum" headerRowDxfId="98" totalsRowDxfId="0">
      <calculatedColumnFormula>Tabela3[[#This Row],[Kolumna11]]*Tabela3[[#This Row],[Kolumna12]]</calculatedColumnFormula>
    </tableColumn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4" name="Tabela35" displayName="Tabela35" ref="A32:M38" headerRowCount="0" totalsRowCount="1" headerRowDxfId="97" dataDxfId="96" totalsRowDxfId="94" tableBorderDxfId="95">
  <tableColumns count="13">
    <tableColumn id="1" name="Kolumna1" totalsRowLabel="Suma" headerRowDxfId="93" dataDxfId="92" totalsRowDxfId="91"/>
    <tableColumn id="2" name="Kolumna2" headerRowDxfId="90" dataDxfId="89" totalsRowDxfId="88"/>
    <tableColumn id="3" name="Kolumna3" totalsRowFunction="sum" headerRowDxfId="87" dataDxfId="86" totalsRowDxfId="85" dataCellStyle="Walutowy"/>
    <tableColumn id="4" name="Kolumna4" totalsRowLabel="SUMA" headerRowDxfId="84" dataDxfId="83" totalsRowDxfId="82"/>
    <tableColumn id="5" name="Kolumna5" headerRowDxfId="81" dataDxfId="80" totalsRowDxfId="79"/>
    <tableColumn id="6" name="Kolumna6" totalsRowFunction="sum" headerRowDxfId="78" dataDxfId="77" totalsRowDxfId="76" dataCellStyle="Walutowy"/>
    <tableColumn id="7" name="Kolumna7" totalsRowLabel="SUMA" headerRowDxfId="75" dataDxfId="74" totalsRowDxfId="73"/>
    <tableColumn id="8" name="Kolumna8" headerRowDxfId="72" dataDxfId="71" totalsRowDxfId="70"/>
    <tableColumn id="9" name="Kolumna9" totalsRowFunction="sum" headerRowDxfId="69" dataDxfId="68" totalsRowDxfId="67" dataCellStyle="Walutowy"/>
    <tableColumn id="10" name="Kolumna10" totalsRowLabel="SUMA" headerRowDxfId="66" dataDxfId="65" totalsRowDxfId="64" dataCellStyle="Walutowy"/>
    <tableColumn id="12" name="Kolumna11" headerRowDxfId="63" dataDxfId="62" totalsRowDxfId="61" dataCellStyle="Walutowy"/>
    <tableColumn id="13" name="Kolumna12" headerRowDxfId="60" dataDxfId="59" totalsRowDxfId="58" dataCellStyle="Walutowy"/>
    <tableColumn id="14" name="Kolumna13" totalsRowFunction="sum" headerRowDxfId="57" dataDxfId="56" totalsRowDxfId="55" dataCellStyle="Walutowy">
      <calculatedColumnFormula>Tabela35[[#This Row],[Kolumna11]]*Tabela35[[#This Row],[Kolumna12]]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1" name="Tabela1" displayName="Tabela1" ref="A58:I62" headerRowCount="0" insertRowShift="1" totalsRowShown="0" headerRowDxfId="54" dataDxfId="53">
  <tableColumns count="9">
    <tableColumn id="1" name="przedział osób" headerRowDxfId="52" dataDxfId="51">
      <calculatedColumnFormula>A48</calculatedColumnFormula>
    </tableColumn>
    <tableColumn id="2" name=" liczba pax" headerRowDxfId="50" dataDxfId="49"/>
    <tableColumn id="3" name="netto pax" headerRowDxfId="48" dataDxfId="47">
      <calculatedColumnFormula>IF(Tabela1[[#This Row],[ liczba pax]],(Tabela35[[#Totals],[Kolumna3]]+Tabela3[[#Totals],[Kolumna3]]/$C$7)+(Tabela35[[#Totals],[Kolumna6]]+Tabela3[[#Totals],[Kolumna6]]/$C$7)/Tabela1[[#This Row],[ liczba pax]]+(Tabela35[[#Totals],[Kolumna9]]+Tabela3[[#Totals],[Kolumna9]]/$C$7)/Tabela1[[#This Row],[ liczba pax]]+(Tabela35[[#Totals],[Kolumna13]]+Tabela3[[#Totals],[Kolumna13]]/$C$7)/Tabela1[[#This Row],[ liczba pax]]+B48+B48*$C$5/Tabela1[[#This Row],[ liczba pax]]+C48/Tabela1[[#This Row],[ liczba pax]],0)</calculatedColumnFormula>
    </tableColumn>
    <tableColumn id="4" name="marża pax" headerRowDxfId="46" dataDxfId="45"/>
    <tableColumn id="5" name="total marża" headerRowDxfId="44" dataDxfId="43">
      <calculatedColumnFormula>Tabela1[[#This Row],[marża pax]]*Tabela1[[#This Row],[ liczba pax]]</calculatedColumnFormula>
    </tableColumn>
    <tableColumn id="6" name="Kolumna1" headerRowDxfId="42" dataDxfId="41">
      <calculatedColumnFormula>Tabela1[[#This Row],[total marża]]/1.23</calculatedColumnFormula>
    </tableColumn>
    <tableColumn id="7" name="Kolumna2" headerRowDxfId="40" dataDxfId="39"/>
    <tableColumn id="8" name="Kolumna3" headerRowDxfId="38" dataDxfId="37">
      <calculatedColumnFormula>Tabela1[[#This Row],[netto pax]]+Tabela1[[#This Row],[marża pax]]</calculatedColumnFormula>
    </tableColumn>
    <tableColumn id="9" name="Kolumna4" headerRowDxfId="36" dataDxfId="35" dataCellStyle="Walutow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7" name="Tabela7" displayName="Tabela7" ref="A5:I11" headerRowCount="0" totalsRowCount="1" headerRowDxfId="33" dataDxfId="32" totalsRowDxfId="31">
  <tableColumns count="9">
    <tableColumn id="1" name="Kolumna1" totalsRowLabel="Suma" dataDxfId="30" totalsRowDxfId="29"/>
    <tableColumn id="2" name="Kolumna2" dataDxfId="28" totalsRowDxfId="27"/>
    <tableColumn id="3" name="Kolumna3" dataDxfId="26" totalsRowDxfId="25"/>
    <tableColumn id="4" name="Kolumna4" dataDxfId="24" totalsRowDxfId="23"/>
    <tableColumn id="5" name="Kolumna5" dataDxfId="22" totalsRowDxfId="21"/>
    <tableColumn id="6" name="Kolumna6" totalsRowFunction="sum" dataDxfId="20" totalsRowDxfId="19"/>
    <tableColumn id="7" name="Kolumna7" totalsRowFunction="sum" dataDxfId="18" totalsRowDxfId="17"/>
    <tableColumn id="8" name="Kolumna8" totalsRowFunction="sum" dataDxfId="16" totalsRowDxfId="15"/>
    <tableColumn id="9" name="Kolumna9" totalsRowFunction="sum" dataDxfId="14" totalsRow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>
    <pageSetUpPr fitToPage="1"/>
  </sheetPr>
  <dimension ref="A1:N81"/>
  <sheetViews>
    <sheetView showGridLines="0" tabSelected="1" zoomScale="85" zoomScaleNormal="85" workbookViewId="0">
      <selection activeCell="C18" sqref="C18"/>
    </sheetView>
  </sheetViews>
  <sheetFormatPr defaultColWidth="0" defaultRowHeight="15" x14ac:dyDescent="0.25"/>
  <cols>
    <col min="1" max="1" width="15.42578125" style="1" customWidth="1"/>
    <col min="2" max="2" width="13.140625" style="1" customWidth="1"/>
    <col min="3" max="3" width="12.85546875" style="1" customWidth="1"/>
    <col min="4" max="4" width="12" style="1" customWidth="1"/>
    <col min="5" max="5" width="13" style="1" customWidth="1"/>
    <col min="6" max="6" width="15.28515625" style="1" customWidth="1"/>
    <col min="7" max="8" width="12.42578125" style="1" customWidth="1"/>
    <col min="9" max="9" width="13.85546875" style="1" customWidth="1"/>
    <col min="10" max="10" width="21.7109375" style="1" customWidth="1"/>
    <col min="11" max="11" width="12" style="1" customWidth="1"/>
    <col min="12" max="12" width="9.140625" style="1" customWidth="1"/>
    <col min="13" max="13" width="12.5703125" style="1" customWidth="1"/>
    <col min="14" max="14" width="9.140625" style="1" customWidth="1"/>
    <col min="15" max="21" width="9.140625" style="1" hidden="1" customWidth="1"/>
    <col min="22" max="16384" width="9.140625" style="1" hidden="1"/>
  </cols>
  <sheetData>
    <row r="1" spans="1:14" s="134" customFormat="1" ht="18.75" x14ac:dyDescent="0.3">
      <c r="A1" s="227" t="s">
        <v>78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</row>
    <row r="2" spans="1:14" ht="21" x14ac:dyDescent="0.35">
      <c r="A2" s="220" t="s">
        <v>1</v>
      </c>
      <c r="B2" s="220"/>
      <c r="C2" s="220"/>
      <c r="D2" s="220"/>
      <c r="E2" s="220"/>
      <c r="F2" s="220" t="s">
        <v>2</v>
      </c>
      <c r="G2" s="220"/>
      <c r="H2" s="220"/>
      <c r="I2" s="220"/>
      <c r="K2" s="120" t="s">
        <v>50</v>
      </c>
      <c r="L2" s="120"/>
      <c r="M2" s="121">
        <f ca="1">TODAY()</f>
        <v>43396</v>
      </c>
    </row>
    <row r="3" spans="1:14" ht="21.75" thickBot="1" x14ac:dyDescent="0.4">
      <c r="A3" s="123"/>
      <c r="B3" s="123"/>
      <c r="C3" s="123"/>
      <c r="D3" s="123"/>
      <c r="E3" s="123"/>
      <c r="F3" s="123"/>
      <c r="G3" s="123"/>
      <c r="H3" s="123"/>
      <c r="I3" s="123"/>
      <c r="K3" s="132"/>
      <c r="L3" s="132"/>
      <c r="M3" s="133"/>
    </row>
    <row r="4" spans="1:14" x14ac:dyDescent="0.25">
      <c r="A4" s="231" t="s">
        <v>64</v>
      </c>
      <c r="B4" s="232"/>
      <c r="C4" s="128">
        <v>44</v>
      </c>
    </row>
    <row r="5" spans="1:14" ht="15.75" thickBot="1" x14ac:dyDescent="0.3">
      <c r="A5" s="229" t="s">
        <v>65</v>
      </c>
      <c r="B5" s="230"/>
      <c r="C5" s="129">
        <v>2</v>
      </c>
    </row>
    <row r="6" spans="1:14" ht="15.75" thickBot="1" x14ac:dyDescent="0.3"/>
    <row r="7" spans="1:14" ht="19.5" thickBot="1" x14ac:dyDescent="0.35">
      <c r="A7" s="225" t="s">
        <v>0</v>
      </c>
      <c r="B7" s="226"/>
      <c r="C7" s="40">
        <v>4</v>
      </c>
      <c r="D7" s="7" t="s">
        <v>3</v>
      </c>
      <c r="E7" s="41">
        <v>10</v>
      </c>
      <c r="F7" s="221" t="s">
        <v>11</v>
      </c>
      <c r="G7" s="222"/>
      <c r="H7" s="8">
        <v>0.3</v>
      </c>
      <c r="J7" s="168" t="s">
        <v>76</v>
      </c>
      <c r="K7" s="168"/>
      <c r="L7" s="168"/>
      <c r="M7" s="168"/>
    </row>
    <row r="8" spans="1:14" ht="15.75" thickBot="1" x14ac:dyDescent="0.3">
      <c r="F8" s="233" t="str">
        <f>IF(Wybierz_walute="KURS USD","kurs EUR do ubezpieczenia","")</f>
        <v/>
      </c>
      <c r="G8" s="234"/>
      <c r="H8" s="141">
        <v>4</v>
      </c>
    </row>
    <row r="9" spans="1:14" ht="15.75" thickBot="1" x14ac:dyDescent="0.3">
      <c r="A9" s="223" t="s">
        <v>14</v>
      </c>
      <c r="B9" s="224"/>
      <c r="C9" s="42">
        <v>400</v>
      </c>
      <c r="D9" s="9" t="s">
        <v>17</v>
      </c>
    </row>
    <row r="10" spans="1:14" ht="15.75" thickBot="1" x14ac:dyDescent="0.3">
      <c r="A10" s="221" t="s">
        <v>37</v>
      </c>
      <c r="B10" s="222"/>
      <c r="C10" s="41">
        <v>10</v>
      </c>
      <c r="F10" s="134"/>
    </row>
    <row r="11" spans="1:14" ht="15.75" thickBot="1" x14ac:dyDescent="0.3"/>
    <row r="12" spans="1:14" ht="27.75" customHeight="1" thickBot="1" x14ac:dyDescent="0.3">
      <c r="B12" s="235" t="s">
        <v>47</v>
      </c>
      <c r="C12" s="236"/>
      <c r="D12" s="236"/>
      <c r="E12" s="237"/>
      <c r="F12" s="238"/>
      <c r="G12" s="118"/>
      <c r="H12" s="228" t="str">
        <f>IF('koszty autokaru'!B15=1,"KLIKNIJ ABY WYLICZYĆ KOSZT AUTOKARU","")</f>
        <v/>
      </c>
      <c r="I12" s="228"/>
      <c r="J12" s="228"/>
      <c r="K12" s="119"/>
    </row>
    <row r="13" spans="1:14" ht="15.75" thickBot="1" x14ac:dyDescent="0.3"/>
    <row r="14" spans="1:14" ht="16.5" thickBot="1" x14ac:dyDescent="0.3">
      <c r="A14" s="197" t="s">
        <v>4</v>
      </c>
      <c r="B14" s="198"/>
      <c r="C14" s="198"/>
      <c r="D14" s="198"/>
      <c r="E14" s="198"/>
      <c r="F14" s="198"/>
      <c r="G14" s="198"/>
      <c r="H14" s="198"/>
      <c r="I14" s="198"/>
      <c r="J14" s="198"/>
      <c r="K14" s="198"/>
      <c r="L14" s="198"/>
      <c r="M14" s="199"/>
    </row>
    <row r="15" spans="1:14" x14ac:dyDescent="0.25">
      <c r="A15" s="194" t="s">
        <v>5</v>
      </c>
      <c r="B15" s="195"/>
      <c r="C15" s="196"/>
      <c r="D15" s="194" t="s">
        <v>6</v>
      </c>
      <c r="E15" s="195"/>
      <c r="F15" s="196"/>
      <c r="G15" s="194" t="s">
        <v>7</v>
      </c>
      <c r="H15" s="195"/>
      <c r="I15" s="195"/>
      <c r="J15" s="194" t="s">
        <v>28</v>
      </c>
      <c r="K15" s="195"/>
      <c r="L15" s="195"/>
      <c r="M15" s="196"/>
    </row>
    <row r="16" spans="1:14" ht="15.75" thickBot="1" x14ac:dyDescent="0.3">
      <c r="A16" s="209"/>
      <c r="B16" s="210"/>
      <c r="C16" s="211"/>
      <c r="D16" s="209"/>
      <c r="E16" s="210"/>
      <c r="F16" s="211"/>
      <c r="G16" s="209"/>
      <c r="H16" s="210"/>
      <c r="I16" s="210"/>
      <c r="J16" s="142"/>
      <c r="K16" s="143" t="s">
        <v>29</v>
      </c>
      <c r="L16" s="143" t="s">
        <v>30</v>
      </c>
      <c r="M16" s="144" t="s">
        <v>31</v>
      </c>
    </row>
    <row r="17" spans="1:13" x14ac:dyDescent="0.25">
      <c r="A17" s="24" t="s">
        <v>10</v>
      </c>
      <c r="B17" s="25"/>
      <c r="C17" s="26">
        <f>IF(Wybierz_walute="KURS USD",'NIE USUWAC'!A10,'NIE USUWAC'!A7)</f>
        <v>12</v>
      </c>
      <c r="D17" s="27" t="s">
        <v>8</v>
      </c>
      <c r="E17" s="23"/>
      <c r="F17" s="26">
        <f>C9*C10</f>
        <v>4000</v>
      </c>
      <c r="G17" s="28" t="str">
        <f>IF('koszty autokaru'!B15=1,"AUTOKAR GŁOWNY","---------------")</f>
        <v>---------------</v>
      </c>
      <c r="H17" s="29"/>
      <c r="I17" s="30">
        <f>IF('koszty autokaru'!B15=1,'koszty autokaru'!B11+'koszty autokaru'!E9+'koszty autokaru'!H7,0)</f>
        <v>0</v>
      </c>
      <c r="J17" s="31" t="s">
        <v>15</v>
      </c>
      <c r="K17" s="32">
        <f>Tabela3[[#This Row],[Kolumna3]]</f>
        <v>12</v>
      </c>
      <c r="L17" s="43">
        <v>2</v>
      </c>
      <c r="M17" s="35">
        <f>Tabela3[[#This Row],[Kolumna11]]*Tabela3[[#This Row],[Kolumna12]]</f>
        <v>24</v>
      </c>
    </row>
    <row r="18" spans="1:13" x14ac:dyDescent="0.25">
      <c r="A18" s="22" t="s">
        <v>9</v>
      </c>
      <c r="B18" s="23"/>
      <c r="C18" s="44"/>
      <c r="D18" s="33" t="s">
        <v>15</v>
      </c>
      <c r="E18" s="29"/>
      <c r="F18" s="34">
        <f>C7*E7*H7</f>
        <v>12</v>
      </c>
      <c r="G18" s="45" t="str">
        <f>IF('koszty autokaru'!E4=1,"AUTOKAR GŁÓWNY","")</f>
        <v/>
      </c>
      <c r="H18" s="46"/>
      <c r="I18" s="47"/>
      <c r="J18" s="31" t="s">
        <v>9</v>
      </c>
      <c r="K18" s="32">
        <f>Tabela3[[#This Row],[Kolumna3]]</f>
        <v>0</v>
      </c>
      <c r="L18" s="48">
        <v>2</v>
      </c>
      <c r="M18" s="35">
        <f>Tabela3[[#This Row],[Kolumna11]]*Tabela3[[#This Row],[Kolumna12]]</f>
        <v>0</v>
      </c>
    </row>
    <row r="19" spans="1:13" x14ac:dyDescent="0.25">
      <c r="A19" s="28" t="s">
        <v>13</v>
      </c>
      <c r="B19" s="122"/>
      <c r="C19" s="57">
        <v>0</v>
      </c>
      <c r="D19" s="52" t="s">
        <v>12</v>
      </c>
      <c r="E19" s="50"/>
      <c r="F19" s="51"/>
      <c r="G19" s="53" t="str">
        <f>IF('koszty autokaru'!E6=1,"AUTOKAR GŁÓWNY","")</f>
        <v/>
      </c>
      <c r="H19" s="50"/>
      <c r="I19" s="54">
        <v>0</v>
      </c>
      <c r="J19" s="134" t="s">
        <v>85</v>
      </c>
      <c r="K19" s="54">
        <v>15</v>
      </c>
      <c r="L19" s="43"/>
      <c r="M19" s="35">
        <f>Tabela3[[#This Row],[Kolumna11]]*Tabela3[[#This Row],[Kolumna12]]</f>
        <v>0</v>
      </c>
    </row>
    <row r="20" spans="1:13" x14ac:dyDescent="0.25">
      <c r="A20" s="1" t="s">
        <v>85</v>
      </c>
      <c r="C20" s="51">
        <v>15</v>
      </c>
      <c r="D20" s="52"/>
      <c r="E20" s="56"/>
      <c r="F20" s="57"/>
      <c r="G20" s="49" t="str">
        <f>IF('koszty autokaru'!E7=1,"AUTOKAR GŁÓWNY","")</f>
        <v/>
      </c>
      <c r="H20" s="56"/>
      <c r="I20" s="58"/>
      <c r="J20" s="55" t="s">
        <v>12</v>
      </c>
      <c r="K20" s="54"/>
      <c r="L20" s="51"/>
      <c r="M20" s="36">
        <f>Tabela3[[#This Row],[Kolumna11]]*Tabela3[[#This Row],[Kolumna12]]</f>
        <v>0</v>
      </c>
    </row>
    <row r="21" spans="1:13" x14ac:dyDescent="0.25">
      <c r="A21" s="49" t="s">
        <v>12</v>
      </c>
      <c r="B21" s="50"/>
      <c r="C21" s="51">
        <v>0</v>
      </c>
      <c r="D21" s="52"/>
      <c r="E21" s="56"/>
      <c r="F21" s="57"/>
      <c r="G21" s="49" t="str">
        <f>IF('koszty autokaru'!E7=1,"AUTOKAR GŁÓWNY","")</f>
        <v/>
      </c>
      <c r="H21" s="56"/>
      <c r="I21" s="58"/>
      <c r="J21" s="55"/>
      <c r="K21" s="187"/>
      <c r="L21" s="59"/>
      <c r="M21" s="36">
        <f>Tabela3[[#This Row],[Kolumna11]]*Tabela3[[#This Row],[Kolumna12]]</f>
        <v>0</v>
      </c>
    </row>
    <row r="22" spans="1:13" x14ac:dyDescent="0.25">
      <c r="A22" s="49"/>
      <c r="B22" s="50"/>
      <c r="C22" s="51"/>
      <c r="D22" s="52"/>
      <c r="E22" s="56"/>
      <c r="F22" s="57"/>
      <c r="G22" s="49" t="str">
        <f>IF('koszty autokaru'!E8=1,"AUTOKAR GŁÓWNY","")</f>
        <v/>
      </c>
      <c r="H22" s="56"/>
      <c r="I22" s="58"/>
      <c r="J22" s="55"/>
      <c r="K22" s="58"/>
      <c r="L22" s="59"/>
      <c r="M22" s="36">
        <f>Tabela3[[#This Row],[Kolumna11]]*Tabela3[[#This Row],[Kolumna12]]</f>
        <v>0</v>
      </c>
    </row>
    <row r="23" spans="1:13" ht="15.75" x14ac:dyDescent="0.25">
      <c r="A23" s="145" t="s">
        <v>27</v>
      </c>
      <c r="B23" s="146"/>
      <c r="C23" s="147">
        <f>SUBTOTAL(109,Tabela3[Kolumna3])</f>
        <v>27</v>
      </c>
      <c r="D23" s="148" t="s">
        <v>27</v>
      </c>
      <c r="E23" s="146"/>
      <c r="F23" s="147">
        <f>SUBTOTAL(109,Tabela3[Kolumna6])</f>
        <v>4012</v>
      </c>
      <c r="G23" s="145" t="s">
        <v>27</v>
      </c>
      <c r="H23" s="149"/>
      <c r="I23" s="150">
        <f>SUBTOTAL(109,Tabela3[Kolumna9])</f>
        <v>0</v>
      </c>
      <c r="J23" s="151" t="s">
        <v>27</v>
      </c>
      <c r="K23" s="152"/>
      <c r="L23" s="153"/>
      <c r="M23" s="147">
        <f>SUBTOTAL(109,Tabela3[Kolumna13])</f>
        <v>24</v>
      </c>
    </row>
    <row r="27" spans="1:13" ht="15.75" thickBo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</row>
    <row r="28" spans="1:13" ht="15.75" thickBot="1" x14ac:dyDescent="0.3"/>
    <row r="29" spans="1:13" ht="16.5" thickBot="1" x14ac:dyDescent="0.3">
      <c r="A29" s="206" t="str">
        <f>IF(Wybierz_walute="KURS USD","PŁATNOŚCI W USD","PŁATNOŚCI W EUR")</f>
        <v>PŁATNOŚCI W EUR</v>
      </c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8"/>
    </row>
    <row r="30" spans="1:13" x14ac:dyDescent="0.25">
      <c r="A30" s="202" t="s">
        <v>5</v>
      </c>
      <c r="B30" s="200"/>
      <c r="C30" s="201"/>
      <c r="D30" s="202" t="s">
        <v>6</v>
      </c>
      <c r="E30" s="200"/>
      <c r="F30" s="201"/>
      <c r="G30" s="202" t="s">
        <v>7</v>
      </c>
      <c r="H30" s="200"/>
      <c r="I30" s="201"/>
      <c r="J30" s="200" t="s">
        <v>28</v>
      </c>
      <c r="K30" s="200"/>
      <c r="L30" s="200"/>
      <c r="M30" s="201"/>
    </row>
    <row r="31" spans="1:13" ht="15.75" thickBot="1" x14ac:dyDescent="0.3">
      <c r="A31" s="203"/>
      <c r="B31" s="204"/>
      <c r="C31" s="205"/>
      <c r="D31" s="203"/>
      <c r="E31" s="204"/>
      <c r="F31" s="205"/>
      <c r="G31" s="203"/>
      <c r="H31" s="204"/>
      <c r="I31" s="205"/>
      <c r="J31" s="10"/>
      <c r="K31" s="11" t="s">
        <v>29</v>
      </c>
      <c r="L31" s="11" t="s">
        <v>30</v>
      </c>
      <c r="M31" s="12" t="s">
        <v>31</v>
      </c>
    </row>
    <row r="32" spans="1:13" x14ac:dyDescent="0.25">
      <c r="A32" s="61" t="s">
        <v>18</v>
      </c>
      <c r="B32" s="62"/>
      <c r="C32" s="63">
        <v>15</v>
      </c>
      <c r="D32" s="64" t="s">
        <v>18</v>
      </c>
      <c r="E32" s="65"/>
      <c r="F32" s="63">
        <v>15</v>
      </c>
      <c r="G32" s="66" t="s">
        <v>26</v>
      </c>
      <c r="H32" s="65"/>
      <c r="I32" s="154">
        <v>15</v>
      </c>
      <c r="J32" s="67" t="s">
        <v>18</v>
      </c>
      <c r="K32" s="67">
        <v>160</v>
      </c>
      <c r="L32" s="68">
        <v>2</v>
      </c>
      <c r="M32" s="37">
        <f>Tabela35[[#This Row],[Kolumna11]]*Tabela35[[#This Row],[Kolumna12]]</f>
        <v>320</v>
      </c>
    </row>
    <row r="33" spans="1:13" x14ac:dyDescent="0.25">
      <c r="A33" s="69" t="s">
        <v>18</v>
      </c>
      <c r="B33" s="70"/>
      <c r="C33" s="71">
        <v>15</v>
      </c>
      <c r="D33" s="72" t="s">
        <v>18</v>
      </c>
      <c r="E33" s="70"/>
      <c r="F33" s="71"/>
      <c r="G33" s="69" t="s">
        <v>86</v>
      </c>
      <c r="H33" s="70"/>
      <c r="I33" s="155">
        <v>1000</v>
      </c>
      <c r="J33" s="73" t="s">
        <v>18</v>
      </c>
      <c r="K33" s="73">
        <v>0</v>
      </c>
      <c r="L33" s="74">
        <v>0</v>
      </c>
      <c r="M33" s="37">
        <f>Tabela35[[#This Row],[Kolumna11]]*Tabela35[[#This Row],[Kolumna12]]</f>
        <v>0</v>
      </c>
    </row>
    <row r="34" spans="1:13" x14ac:dyDescent="0.25">
      <c r="A34" s="69"/>
      <c r="B34" s="70"/>
      <c r="C34" s="71"/>
      <c r="D34" s="72"/>
      <c r="E34" s="70"/>
      <c r="F34" s="71"/>
      <c r="G34" s="69"/>
      <c r="H34" s="70"/>
      <c r="I34" s="155"/>
      <c r="J34" s="75"/>
      <c r="K34" s="73"/>
      <c r="L34" s="74"/>
      <c r="M34" s="37">
        <f>Tabela35[[#This Row],[Kolumna11]]*Tabela35[[#This Row],[Kolumna12]]</f>
        <v>0</v>
      </c>
    </row>
    <row r="35" spans="1:13" x14ac:dyDescent="0.25">
      <c r="A35" s="69"/>
      <c r="B35" s="70"/>
      <c r="C35" s="71"/>
      <c r="D35" s="76"/>
      <c r="E35" s="70"/>
      <c r="F35" s="71"/>
      <c r="G35" s="77"/>
      <c r="H35" s="70"/>
      <c r="I35" s="155"/>
      <c r="J35" s="78"/>
      <c r="K35" s="73"/>
      <c r="L35" s="74"/>
      <c r="M35" s="37">
        <f>Tabela35[[#This Row],[Kolumna11]]*Tabela35[[#This Row],[Kolumna12]]</f>
        <v>0</v>
      </c>
    </row>
    <row r="36" spans="1:13" x14ac:dyDescent="0.25">
      <c r="A36" s="69"/>
      <c r="B36" s="70"/>
      <c r="C36" s="71"/>
      <c r="D36" s="76"/>
      <c r="E36" s="70"/>
      <c r="F36" s="71"/>
      <c r="G36" s="77"/>
      <c r="H36" s="70"/>
      <c r="I36" s="155"/>
      <c r="J36" s="78"/>
      <c r="K36" s="73"/>
      <c r="L36" s="74"/>
      <c r="M36" s="37">
        <f>Tabela35[[#This Row],[Kolumna11]]*Tabela35[[#This Row],[Kolumna12]]</f>
        <v>0</v>
      </c>
    </row>
    <row r="37" spans="1:13" x14ac:dyDescent="0.25">
      <c r="A37" s="69"/>
      <c r="B37" s="70"/>
      <c r="C37" s="71"/>
      <c r="D37" s="76"/>
      <c r="E37" s="70"/>
      <c r="F37" s="71"/>
      <c r="G37" s="77"/>
      <c r="H37" s="70"/>
      <c r="I37" s="155"/>
      <c r="J37" s="78"/>
      <c r="K37" s="73"/>
      <c r="L37" s="74"/>
      <c r="M37" s="37">
        <f>Tabela35[[#This Row],[Kolumna11]]*Tabela35[[#This Row],[Kolumna12]]</f>
        <v>0</v>
      </c>
    </row>
    <row r="38" spans="1:13" ht="15.75" x14ac:dyDescent="0.25">
      <c r="A38" s="135" t="s">
        <v>16</v>
      </c>
      <c r="B38" s="136"/>
      <c r="C38" s="13">
        <f>SUBTOTAL(109,Tabela35[Kolumna3])</f>
        <v>30</v>
      </c>
      <c r="D38" s="136" t="s">
        <v>27</v>
      </c>
      <c r="E38" s="136"/>
      <c r="F38" s="13">
        <f>SUBTOTAL(109,Tabela35[Kolumna6])</f>
        <v>15</v>
      </c>
      <c r="G38" s="136" t="s">
        <v>27</v>
      </c>
      <c r="H38" s="137"/>
      <c r="I38" s="156">
        <f>SUBTOTAL(109,Tabela35[Kolumna9])</f>
        <v>1015</v>
      </c>
      <c r="J38" s="138" t="s">
        <v>27</v>
      </c>
      <c r="K38" s="139"/>
      <c r="L38" s="140"/>
      <c r="M38" s="130">
        <f>SUBTOTAL(109,Tabela35[Kolumna13])</f>
        <v>320</v>
      </c>
    </row>
    <row r="40" spans="1:13" x14ac:dyDescent="0.25">
      <c r="A40" s="14" t="s">
        <v>39</v>
      </c>
      <c r="B40" s="14"/>
      <c r="C40" s="79">
        <v>30</v>
      </c>
    </row>
    <row r="43" spans="1:13" ht="15.75" thickBot="1" x14ac:dyDescent="0.3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 s="134" customFormat="1" x14ac:dyDescent="0.25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</row>
    <row r="45" spans="1:13" s="134" customFormat="1" ht="15.75" x14ac:dyDescent="0.25">
      <c r="A45" s="219" t="s">
        <v>79</v>
      </c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</row>
    <row r="46" spans="1:13" s="134" customFormat="1" ht="15.75" thickBot="1" x14ac:dyDescent="0.3"/>
    <row r="47" spans="1:13" s="134" customFormat="1" ht="45.75" thickBot="1" x14ac:dyDescent="0.3">
      <c r="A47" s="15" t="s">
        <v>82</v>
      </c>
      <c r="B47" s="175" t="s">
        <v>84</v>
      </c>
      <c r="C47" s="15" t="s">
        <v>80</v>
      </c>
      <c r="E47" s="176" t="s">
        <v>81</v>
      </c>
    </row>
    <row r="48" spans="1:13" s="134" customFormat="1" x14ac:dyDescent="0.25">
      <c r="A48" s="177" t="s">
        <v>22</v>
      </c>
      <c r="B48" s="178">
        <v>10</v>
      </c>
      <c r="C48" s="179">
        <v>0</v>
      </c>
    </row>
    <row r="49" spans="1:13" s="134" customFormat="1" x14ac:dyDescent="0.25">
      <c r="A49" s="180" t="s">
        <v>23</v>
      </c>
      <c r="B49" s="181">
        <v>0</v>
      </c>
      <c r="C49" s="182">
        <v>0</v>
      </c>
    </row>
    <row r="50" spans="1:13" s="134" customFormat="1" x14ac:dyDescent="0.25">
      <c r="A50" s="180" t="s">
        <v>24</v>
      </c>
      <c r="B50" s="181">
        <v>20</v>
      </c>
      <c r="C50" s="182">
        <v>0</v>
      </c>
    </row>
    <row r="51" spans="1:13" s="134" customFormat="1" x14ac:dyDescent="0.25">
      <c r="A51" s="180" t="s">
        <v>36</v>
      </c>
      <c r="B51" s="181">
        <v>10</v>
      </c>
      <c r="C51" s="182">
        <v>10</v>
      </c>
      <c r="D51" s="92"/>
      <c r="E51" s="92"/>
      <c r="F51" s="92"/>
      <c r="G51" s="92"/>
      <c r="H51" s="92"/>
      <c r="I51" s="92"/>
      <c r="J51" s="92"/>
      <c r="K51" s="92"/>
      <c r="L51" s="92"/>
      <c r="M51" s="92"/>
    </row>
    <row r="52" spans="1:13" s="134" customFormat="1" ht="15.75" thickBot="1" x14ac:dyDescent="0.3">
      <c r="A52" s="183" t="s">
        <v>25</v>
      </c>
      <c r="B52" s="184">
        <v>20</v>
      </c>
      <c r="C52" s="185">
        <v>20</v>
      </c>
      <c r="D52" s="92"/>
      <c r="E52" s="92"/>
      <c r="F52" s="92"/>
      <c r="G52" s="92"/>
      <c r="H52" s="92"/>
      <c r="I52" s="92"/>
      <c r="J52" s="92"/>
      <c r="K52" s="92"/>
      <c r="L52" s="92"/>
      <c r="M52" s="92"/>
    </row>
    <row r="53" spans="1:13" s="134" customFormat="1" ht="15.75" thickBot="1" x14ac:dyDescent="0.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5" spans="1:13" ht="18.75" x14ac:dyDescent="0.3">
      <c r="A55" s="213" t="s">
        <v>77</v>
      </c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</row>
    <row r="56" spans="1:13" ht="15.75" thickBot="1" x14ac:dyDescent="0.3"/>
    <row r="57" spans="1:13" ht="45.75" thickBot="1" x14ac:dyDescent="0.3">
      <c r="A57" s="15" t="s">
        <v>82</v>
      </c>
      <c r="B57" s="15" t="s">
        <v>83</v>
      </c>
      <c r="C57" s="175" t="s">
        <v>21</v>
      </c>
      <c r="D57" s="15" t="s">
        <v>32</v>
      </c>
      <c r="E57" s="15" t="s">
        <v>33</v>
      </c>
      <c r="F57" s="15" t="s">
        <v>38</v>
      </c>
      <c r="G57" s="16"/>
      <c r="H57" s="15" t="s">
        <v>34</v>
      </c>
      <c r="I57" s="15" t="s">
        <v>35</v>
      </c>
      <c r="J57" s="214" t="s">
        <v>74</v>
      </c>
      <c r="K57" s="215"/>
      <c r="L57" s="216"/>
      <c r="M57" s="163" t="s">
        <v>73</v>
      </c>
    </row>
    <row r="58" spans="1:13" ht="15.75" thickBot="1" x14ac:dyDescent="0.3">
      <c r="A58" s="186" t="str">
        <f>A48</f>
        <v>30-34</v>
      </c>
      <c r="B58" s="82"/>
      <c r="C58" s="125">
        <f>IF(Tabela1[[#This Row],[ liczba pax]],(Tabela35[[#Totals],[Kolumna3]]+Tabela3[[#Totals],[Kolumna3]]/$C$7)+(Tabela35[[#Totals],[Kolumna6]]+Tabela3[[#Totals],[Kolumna6]]/$C$7)/Tabela1[[#This Row],[ liczba pax]]+(Tabela35[[#Totals],[Kolumna9]]+Tabela3[[#Totals],[Kolumna9]]/$C$7)/Tabela1[[#This Row],[ liczba pax]]+(Tabela35[[#Totals],[Kolumna13]]+Tabela3[[#Totals],[Kolumna13]]/$C$7)/Tabela1[[#This Row],[ liczba pax]]+B48+B48*$C$5/Tabela1[[#This Row],[ liczba pax]]+C48/Tabela1[[#This Row],[ liczba pax]],0)</f>
        <v>0</v>
      </c>
      <c r="D58" s="169">
        <v>0</v>
      </c>
      <c r="E58" s="125">
        <f>Tabela1[[#This Row],[marża pax]]*Tabela1[[#This Row],[ liczba pax]]</f>
        <v>0</v>
      </c>
      <c r="F58" s="125">
        <f>Tabela1[[#This Row],[total marża]]/1.23</f>
        <v>0</v>
      </c>
      <c r="G58" s="171"/>
      <c r="H58" s="125">
        <f>Tabela1[[#This Row],[netto pax]]+Tabela1[[#This Row],[marża pax]]</f>
        <v>0</v>
      </c>
      <c r="I58" s="126"/>
      <c r="J58" s="217"/>
      <c r="K58" s="215"/>
      <c r="L58" s="218"/>
      <c r="M58" s="174">
        <f>IF(Tabela1[[#This Row],[Kolumna4]]&gt;2999.99,Tabela1[[#This Row],[Kolumna4]]*0.0414,Tabela1[[#All],[Kolumna4]]*0.039)</f>
        <v>0</v>
      </c>
    </row>
    <row r="59" spans="1:13" ht="15.75" thickBot="1" x14ac:dyDescent="0.3">
      <c r="A59" s="186" t="str">
        <f t="shared" ref="A59:A62" si="0">A49</f>
        <v>35-39</v>
      </c>
      <c r="B59" s="82"/>
      <c r="C59" s="125">
        <f>IF(Tabela1[[#This Row],[ liczba pax]],(Tabela35[[#Totals],[Kolumna3]]+Tabela3[[#Totals],[Kolumna3]]/$C$7)+(Tabela35[[#Totals],[Kolumna6]]+Tabela3[[#Totals],[Kolumna6]]/$C$7)/Tabela1[[#This Row],[ liczba pax]]+(Tabela35[[#Totals],[Kolumna9]]+Tabela3[[#Totals],[Kolumna9]]/$C$7)/Tabela1[[#This Row],[ liczba pax]]+(Tabela35[[#Totals],[Kolumna13]]+Tabela3[[#Totals],[Kolumna13]]/$C$7)/Tabela1[[#This Row],[ liczba pax]]+B49+B49*$C$5/Tabela1[[#This Row],[ liczba pax]]+C49/Tabela1[[#This Row],[ liczba pax]],0)</f>
        <v>0</v>
      </c>
      <c r="D59" s="169">
        <v>0</v>
      </c>
      <c r="E59" s="125">
        <f>Tabela1[[#This Row],[marża pax]]*Tabela1[[#This Row],[ liczba pax]]</f>
        <v>0</v>
      </c>
      <c r="F59" s="125">
        <f>Tabela1[[#This Row],[total marża]]/1.23</f>
        <v>0</v>
      </c>
      <c r="G59" s="170"/>
      <c r="H59" s="125">
        <f>Tabela1[[#This Row],[netto pax]]+Tabela1[[#This Row],[marża pax]]</f>
        <v>0</v>
      </c>
      <c r="I59" s="126"/>
      <c r="J59" s="217"/>
      <c r="K59" s="215"/>
      <c r="L59" s="218"/>
      <c r="M59" s="174">
        <f>IF(Tabela1[[#This Row],[Kolumna4]]&gt;2999.99,Tabela1[[#This Row],[Kolumna4]]*0.0414,Tabela1[[#All],[Kolumna4]]*0.039)</f>
        <v>0</v>
      </c>
    </row>
    <row r="60" spans="1:13" ht="15.75" thickBot="1" x14ac:dyDescent="0.3">
      <c r="A60" s="186" t="str">
        <f t="shared" si="0"/>
        <v>40-44</v>
      </c>
      <c r="B60" s="82">
        <v>40</v>
      </c>
      <c r="C60" s="125">
        <f>IF(Tabela1[[#This Row],[ liczba pax]],(Tabela35[[#Totals],[Kolumna3]]+Tabela3[[#Totals],[Kolumna3]]/$C$7)+(Tabela35[[#Totals],[Kolumna6]]+Tabela3[[#Totals],[Kolumna6]]/$C$7)/Tabela1[[#This Row],[ liczba pax]]+(Tabela35[[#Totals],[Kolumna9]]+Tabela3[[#Totals],[Kolumna9]]/$C$7)/Tabela1[[#This Row],[ liczba pax]]+(Tabela35[[#Totals],[Kolumna13]]+Tabela3[[#Totals],[Kolumna13]]/$C$7)/Tabela1[[#This Row],[ liczba pax]]+B50+B50*$C$5/Tabela1[[#This Row],[ liczba pax]]+C50/Tabela1[[#This Row],[ liczba pax]],0)</f>
        <v>116.72500000000001</v>
      </c>
      <c r="D60" s="169">
        <v>246</v>
      </c>
      <c r="E60" s="125">
        <f>Tabela1[[#This Row],[marża pax]]*Tabela1[[#This Row],[ liczba pax]]</f>
        <v>9840</v>
      </c>
      <c r="F60" s="125">
        <f>Tabela1[[#This Row],[total marża]]/1.23</f>
        <v>8000</v>
      </c>
      <c r="G60" s="170"/>
      <c r="H60" s="125">
        <f>Tabela1[[#This Row],[netto pax]]+Tabela1[[#This Row],[marża pax]]</f>
        <v>362.72500000000002</v>
      </c>
      <c r="I60" s="126">
        <v>2890</v>
      </c>
      <c r="J60" s="217"/>
      <c r="K60" s="215"/>
      <c r="L60" s="218"/>
      <c r="M60" s="174">
        <f>IF(Tabela1[[#This Row],[Kolumna4]]&gt;2999.99,Tabela1[[#This Row],[Kolumna4]]*0.0414,Tabela1[[#All],[Kolumna4]]*0.039)</f>
        <v>112.71</v>
      </c>
    </row>
    <row r="61" spans="1:13" ht="15.75" thickBot="1" x14ac:dyDescent="0.3">
      <c r="A61" s="186" t="str">
        <f t="shared" si="0"/>
        <v>45-49</v>
      </c>
      <c r="B61" s="82"/>
      <c r="C61" s="125">
        <f>IF(Tabela1[[#This Row],[ liczba pax]],(Tabela35[[#Totals],[Kolumna3]]+Tabela3[[#Totals],[Kolumna3]]/$C$7)+(Tabela35[[#Totals],[Kolumna6]]+Tabela3[[#Totals],[Kolumna6]]/$C$7)/Tabela1[[#This Row],[ liczba pax]]+(Tabela35[[#Totals],[Kolumna9]]+Tabela3[[#Totals],[Kolumna9]]/$C$7)/Tabela1[[#This Row],[ liczba pax]]+(Tabela35[[#Totals],[Kolumna13]]+Tabela3[[#Totals],[Kolumna13]]/$C$7)/Tabela1[[#This Row],[ liczba pax]]+B51+B51*$C$5/Tabela1[[#This Row],[ liczba pax]]+C51/Tabela1[[#This Row],[ liczba pax]],0)</f>
        <v>0</v>
      </c>
      <c r="D61" s="169">
        <v>0</v>
      </c>
      <c r="E61" s="125">
        <f>Tabela1[[#This Row],[marża pax]]*Tabela1[[#This Row],[ liczba pax]]</f>
        <v>0</v>
      </c>
      <c r="F61" s="125">
        <f>Tabela1[[#This Row],[total marża]]/1.23</f>
        <v>0</v>
      </c>
      <c r="G61" s="170"/>
      <c r="H61" s="125">
        <f>Tabela1[[#This Row],[netto pax]]+Tabela1[[#This Row],[marża pax]]</f>
        <v>0</v>
      </c>
      <c r="I61" s="126"/>
      <c r="J61" s="217"/>
      <c r="K61" s="215"/>
      <c r="L61" s="218"/>
      <c r="M61" s="174">
        <f>IF(Tabela1[[#This Row],[Kolumna4]]&gt;2999.99,Tabela1[[#This Row],[Kolumna4]]*0.0414,Tabela1[[#All],[Kolumna4]]*0.039)</f>
        <v>0</v>
      </c>
    </row>
    <row r="62" spans="1:13" ht="15.75" thickBot="1" x14ac:dyDescent="0.3">
      <c r="A62" s="186" t="str">
        <f t="shared" si="0"/>
        <v>50-55</v>
      </c>
      <c r="B62" s="82"/>
      <c r="C62" s="125">
        <f>IF(Tabela1[[#This Row],[ liczba pax]],(Tabela35[[#Totals],[Kolumna3]]+Tabela3[[#Totals],[Kolumna3]]/$C$7)+(Tabela35[[#Totals],[Kolumna6]]+Tabela3[[#Totals],[Kolumna6]]/$C$7)/Tabela1[[#This Row],[ liczba pax]]+(Tabela35[[#Totals],[Kolumna9]]+Tabela3[[#Totals],[Kolumna9]]/$C$7)/Tabela1[[#This Row],[ liczba pax]]+(Tabela35[[#Totals],[Kolumna13]]+Tabela3[[#Totals],[Kolumna13]]/$C$7)/Tabela1[[#This Row],[ liczba pax]]+B52+B52*$C$5/Tabela1[[#This Row],[ liczba pax]]+C52/Tabela1[[#This Row],[ liczba pax]],0)</f>
        <v>0</v>
      </c>
      <c r="D62" s="169">
        <v>0</v>
      </c>
      <c r="E62" s="125">
        <f>Tabela1[[#This Row],[marża pax]]*Tabela1[[#This Row],[ liczba pax]]</f>
        <v>0</v>
      </c>
      <c r="F62" s="125">
        <f>Tabela1[[#This Row],[total marża]]/1.23</f>
        <v>0</v>
      </c>
      <c r="G62" s="170"/>
      <c r="H62" s="125">
        <f>Tabela1[[#This Row],[netto pax]]+Tabela1[[#This Row],[marża pax]]</f>
        <v>0</v>
      </c>
      <c r="I62" s="126"/>
      <c r="J62" s="217"/>
      <c r="K62" s="215"/>
      <c r="L62" s="218"/>
      <c r="M62" s="174">
        <f>IF(Tabela1[[#This Row],[Kolumna4]]&gt;2999.99,Tabela1[[#This Row],[Kolumna4]]*0.0414,Tabela1[[#All],[Kolumna4]]*0.039)</f>
        <v>0</v>
      </c>
    </row>
    <row r="63" spans="1:13" ht="15.75" thickBot="1" x14ac:dyDescent="0.3">
      <c r="A63" s="84"/>
      <c r="G63" s="85"/>
      <c r="I63" s="2"/>
    </row>
    <row r="64" spans="1:13" ht="30.75" thickBot="1" x14ac:dyDescent="0.3">
      <c r="G64" s="131" t="s">
        <v>40</v>
      </c>
      <c r="H64" s="172">
        <f>C40</f>
        <v>30</v>
      </c>
      <c r="I64" s="173"/>
    </row>
    <row r="66" spans="1:13" x14ac:dyDescent="0.25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</row>
    <row r="67" spans="1:13" ht="18.75" x14ac:dyDescent="0.3">
      <c r="A67" s="212" t="s">
        <v>61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</row>
    <row r="68" spans="1:13" ht="15.75" thickBot="1" x14ac:dyDescent="0.3"/>
    <row r="69" spans="1:13" x14ac:dyDescent="0.25">
      <c r="A69" s="188" t="s">
        <v>59</v>
      </c>
      <c r="B69" s="189"/>
      <c r="C69" s="190"/>
    </row>
    <row r="70" spans="1:13" ht="15.75" thickBot="1" x14ac:dyDescent="0.3">
      <c r="A70" s="191"/>
      <c r="B70" s="192"/>
      <c r="C70" s="193"/>
    </row>
    <row r="72" spans="1:13" ht="15.75" thickBot="1" x14ac:dyDescent="0.3"/>
    <row r="73" spans="1:13" ht="46.5" thickBot="1" x14ac:dyDescent="0.3">
      <c r="A73" s="80" t="s">
        <v>19</v>
      </c>
      <c r="B73" s="80" t="s">
        <v>20</v>
      </c>
      <c r="C73" s="81" t="str">
        <f>IF(Wybierz_walute="KURS USD","Koszt PAX USD","Koszt PAX EUR")</f>
        <v>Koszt PAX EUR</v>
      </c>
      <c r="D73" s="81" t="str">
        <f>IF(Wybierz_walute="KURS USD","KOSZT NA UMOWIE USD","KOSZT NA UMOWIE EUR")</f>
        <v>KOSZT NA UMOWIE EUR</v>
      </c>
      <c r="F73" s="81" t="s">
        <v>63</v>
      </c>
      <c r="G73" s="81" t="s">
        <v>62</v>
      </c>
    </row>
    <row r="74" spans="1:13" x14ac:dyDescent="0.25">
      <c r="A74" s="38" t="str">
        <f t="shared" ref="A74:B78" si="1">A58</f>
        <v>30-34</v>
      </c>
      <c r="B74" s="38">
        <f t="shared" si="1"/>
        <v>0</v>
      </c>
      <c r="C74" s="125">
        <f>IF(B74,Tabela7[[#Totals],[Kolumna6]]+Tabela7[[#Totals],[Kolumna7]]/'Cena PLN'!B74+Tabela7[[#Totals],[Kolumna6]]*'koszty na miejscu'!$F$2/'Cena PLN'!B74,0)</f>
        <v>0</v>
      </c>
      <c r="D74" s="126"/>
      <c r="F74" s="124">
        <f>IF(B74,Tabela7[[#Totals],[Kolumna8]]+Tabela7[[#Totals],[Kolumna9]]/'Cena PLN'!B74+Tabela7[[#Totals],[Kolumna8]]*'koszty na miejscu'!$F$2/'Cena PLN'!B74,0)</f>
        <v>0</v>
      </c>
      <c r="G74" s="83"/>
    </row>
    <row r="75" spans="1:13" x14ac:dyDescent="0.25">
      <c r="A75" s="38" t="str">
        <f t="shared" si="1"/>
        <v>35-39</v>
      </c>
      <c r="B75" s="38">
        <f t="shared" si="1"/>
        <v>0</v>
      </c>
      <c r="C75" s="125">
        <f>IF(B75,Tabela7[[#Totals],[Kolumna6]]+Tabela7[[#Totals],[Kolumna7]]/'Cena PLN'!B75+Tabela7[[#Totals],[Kolumna6]]*'koszty na miejscu'!$F$2/'Cena PLN'!B75,0)</f>
        <v>0</v>
      </c>
      <c r="D75" s="126"/>
      <c r="F75" s="124">
        <f>IF(B75,Tabela7[[#Totals],[Kolumna8]]+Tabela7[[#Totals],[Kolumna9]]/'Cena PLN'!B75+Tabela7[[#Totals],[Kolumna8]]*'koszty na miejscu'!$F$2/'Cena PLN'!B75,0)</f>
        <v>0</v>
      </c>
      <c r="G75" s="83"/>
    </row>
    <row r="76" spans="1:13" x14ac:dyDescent="0.25">
      <c r="A76" s="38" t="str">
        <f t="shared" si="1"/>
        <v>40-44</v>
      </c>
      <c r="B76" s="38">
        <f t="shared" si="1"/>
        <v>40</v>
      </c>
      <c r="C76" s="125">
        <f>IF(B76,Tabela7[[#Totals],[Kolumna6]]+Tabela7[[#Totals],[Kolumna7]]/'Cena PLN'!B76+Tabela7[[#Totals],[Kolumna6]]*'koszty na miejscu'!$F$2/'Cena PLN'!B76,0)</f>
        <v>78.75</v>
      </c>
      <c r="D76" s="126">
        <v>23</v>
      </c>
      <c r="F76" s="124">
        <f>IF(B76,Tabela7[[#Totals],[Kolumna8]]+Tabela7[[#Totals],[Kolumna9]]/'Cena PLN'!B76+Tabela7[[#Totals],[Kolumna8]]*'koszty na miejscu'!$F$2/'Cena PLN'!B76,0)</f>
        <v>0</v>
      </c>
      <c r="G76" s="83">
        <v>35</v>
      </c>
    </row>
    <row r="77" spans="1:13" x14ac:dyDescent="0.25">
      <c r="A77" s="38" t="str">
        <f t="shared" si="1"/>
        <v>45-49</v>
      </c>
      <c r="B77" s="38">
        <f t="shared" si="1"/>
        <v>0</v>
      </c>
      <c r="C77" s="125">
        <f>IF(B77,Tabela7[[#Totals],[Kolumna6]]+Tabela7[[#Totals],[Kolumna7]]/'Cena PLN'!B77+Tabela7[[#Totals],[Kolumna6]]*'koszty na miejscu'!$F$2/'Cena PLN'!B77,0)</f>
        <v>0</v>
      </c>
      <c r="D77" s="126"/>
      <c r="F77" s="124">
        <f>IF(B77,Tabela7[[#Totals],[Kolumna8]]+Tabela7[[#Totals],[Kolumna9]]/'Cena PLN'!B77+Tabela7[[#Totals],[Kolumna8]]*'koszty na miejscu'!$F$2/'Cena PLN'!B77,0)</f>
        <v>0</v>
      </c>
      <c r="G77" s="83"/>
    </row>
    <row r="78" spans="1:13" ht="15.75" thickBot="1" x14ac:dyDescent="0.3">
      <c r="A78" s="39" t="str">
        <f t="shared" si="1"/>
        <v>50-55</v>
      </c>
      <c r="B78" s="39">
        <f t="shared" si="1"/>
        <v>0</v>
      </c>
      <c r="C78" s="125">
        <f>IF(B78,Tabela7[[#Totals],[Kolumna6]]+Tabela7[[#Totals],[Kolumna7]]/'Cena PLN'!B78+Tabela7[[#Totals],[Kolumna6]]*'koszty na miejscu'!$F$2/'Cena PLN'!B78,0)</f>
        <v>0</v>
      </c>
      <c r="D78" s="127"/>
      <c r="F78" s="124">
        <f>IF(B78,Tabela7[[#Totals],[Kolumna8]]+Tabela7[[#Totals],[Kolumna9]]/'Cena PLN'!B78+Tabela7[[#Totals],[Kolumna8]]*'koszty na miejscu'!$F$2/'Cena PLN'!B78,0)</f>
        <v>0</v>
      </c>
      <c r="G78" s="86"/>
    </row>
    <row r="81" spans="1:13" ht="15.75" thickBot="1" x14ac:dyDescent="0.3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</row>
  </sheetData>
  <sheetProtection sheet="1" objects="1" scenarios="1" formatCells="0" insertHyperlinks="0" deleteColumns="0" sort="0"/>
  <mergeCells count="28">
    <mergeCell ref="H12:J12"/>
    <mergeCell ref="A5:B5"/>
    <mergeCell ref="A4:B4"/>
    <mergeCell ref="F8:G8"/>
    <mergeCell ref="A10:B10"/>
    <mergeCell ref="B12:D12"/>
    <mergeCell ref="E12:F12"/>
    <mergeCell ref="A2:E2"/>
    <mergeCell ref="F7:G7"/>
    <mergeCell ref="A9:B9"/>
    <mergeCell ref="A7:B7"/>
    <mergeCell ref="A1:N1"/>
    <mergeCell ref="F2:I2"/>
    <mergeCell ref="A69:C70"/>
    <mergeCell ref="J15:M15"/>
    <mergeCell ref="A14:M14"/>
    <mergeCell ref="J30:M30"/>
    <mergeCell ref="A30:C31"/>
    <mergeCell ref="D30:F31"/>
    <mergeCell ref="G30:I31"/>
    <mergeCell ref="A29:M29"/>
    <mergeCell ref="D15:F16"/>
    <mergeCell ref="G15:I16"/>
    <mergeCell ref="A15:C16"/>
    <mergeCell ref="A67:M67"/>
    <mergeCell ref="A55:M55"/>
    <mergeCell ref="J57:L62"/>
    <mergeCell ref="A45:M45"/>
  </mergeCells>
  <conditionalFormatting sqref="F8:G8">
    <cfRule type="containsBlanks" dxfId="134" priority="18">
      <formula>LEN(TRIM(F8))=0</formula>
    </cfRule>
    <cfRule type="notContainsBlanks" dxfId="133" priority="19">
      <formula>LEN(TRIM(F8))&gt;0</formula>
    </cfRule>
  </conditionalFormatting>
  <conditionalFormatting sqref="H8">
    <cfRule type="expression" dxfId="132" priority="17">
      <formula>IF($A$7="KURS EURO",1,0)</formula>
    </cfRule>
  </conditionalFormatting>
  <conditionalFormatting sqref="A29:M29">
    <cfRule type="containsText" dxfId="131" priority="15" operator="containsText" text="PŁATNOŚCI W EUR">
      <formula>NOT(ISERROR(SEARCH("PŁATNOŚCI W EUR",A29)))</formula>
    </cfRule>
    <cfRule type="containsText" dxfId="130" priority="16" operator="containsText" text="PŁATNOŚCI W USD">
      <formula>NOT(ISERROR(SEARCH("PŁATNOŚCI W USD",A29)))</formula>
    </cfRule>
  </conditionalFormatting>
  <conditionalFormatting sqref="A30:M31">
    <cfRule type="expression" dxfId="129" priority="14">
      <formula>IF($A$29="PŁATNOŚCI W USD",1)</formula>
    </cfRule>
  </conditionalFormatting>
  <conditionalFormatting sqref="A38:M38">
    <cfRule type="expression" dxfId="128" priority="13">
      <formula>IF($A$29="PŁATNOŚCI W USD",1)</formula>
    </cfRule>
  </conditionalFormatting>
  <conditionalFormatting sqref="C58:I62 M58:M62 C74:D78 C32:C38 F32:F38 I32:I38 M32:M38">
    <cfRule type="expression" dxfId="127" priority="12">
      <formula>IF(Wybierz_walute="KURS USD",1)</formula>
    </cfRule>
  </conditionalFormatting>
  <conditionalFormatting sqref="K32:K34">
    <cfRule type="expression" dxfId="126" priority="9">
      <formula>IF(Wybierz_walute="KURS USD",1)</formula>
    </cfRule>
  </conditionalFormatting>
  <conditionalFormatting sqref="C40">
    <cfRule type="expression" dxfId="125" priority="8">
      <formula>IF(Wybierz_walute="KURS USD",1)</formula>
    </cfRule>
  </conditionalFormatting>
  <conditionalFormatting sqref="F57:F62">
    <cfRule type="expression" dxfId="124" priority="7">
      <formula>IF(Wybierz_walute="KURS USD",1)</formula>
    </cfRule>
  </conditionalFormatting>
  <conditionalFormatting sqref="A7:B7">
    <cfRule type="containsText" dxfId="123" priority="4" operator="containsText" text="KURS EUR">
      <formula>NOT(ISERROR(SEARCH("KURS EUR",A7)))</formula>
    </cfRule>
    <cfRule type="containsText" dxfId="122" priority="5" operator="containsText" text="KURS USD">
      <formula>NOT(ISERROR(SEARCH("KURS USD",A7)))</formula>
    </cfRule>
  </conditionalFormatting>
  <conditionalFormatting sqref="H64:I64">
    <cfRule type="expression" dxfId="121" priority="3">
      <formula>IF(Wybierz_walute="KURS USD",1)</formula>
    </cfRule>
  </conditionalFormatting>
  <conditionalFormatting sqref="B48:C52">
    <cfRule type="expression" dxfId="120" priority="2">
      <formula>IF(Wybierz_walute="KURS USD",1)</formula>
    </cfRule>
  </conditionalFormatting>
  <conditionalFormatting sqref="A45:M45">
    <cfRule type="expression" dxfId="119" priority="1">
      <formula>IF(Wybierz_walute="KURS USD",1)</formula>
    </cfRule>
  </conditionalFormatting>
  <dataValidations count="1">
    <dataValidation type="list" allowBlank="1" showInputMessage="1" showErrorMessage="1" sqref="A7:B7">
      <formula1>KURS_EURO</formula1>
    </dataValidation>
  </dataValidations>
  <hyperlinks>
    <hyperlink ref="A69" location="'koszty autokaru'!A1" display="Wyliczenie autokaru"/>
    <hyperlink ref="A69:C70" location="'koszty na miejscu'!A1" display="KLIKNIJ ABY POLICZYĆ KOSZTY NA MIEJSCU"/>
    <hyperlink ref="H12:J12" location="'koszty autokaru'!A1" display="'koszty autokaru'!A1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83" fitToHeight="0" orientation="landscape" r:id="rId1"/>
  <rowBreaks count="2" manualBreakCount="2">
    <brk id="41" max="12" man="1"/>
    <brk id="63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Drop Down 13">
              <controlPr locked="0" defaultSize="0" autoLine="0" autoPict="0" altText="wybierz rodzaj transportu">
                <anchor moveWithCells="1">
                  <from>
                    <xdr:col>3</xdr:col>
                    <xdr:colOff>723900</xdr:colOff>
                    <xdr:row>11</xdr:row>
                    <xdr:rowOff>76200</xdr:rowOff>
                  </from>
                  <to>
                    <xdr:col>5</xdr:col>
                    <xdr:colOff>904875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nowePLN">
                <anchor moveWithCells="1" sizeWithCells="1">
                  <from>
                    <xdr:col>0</xdr:col>
                    <xdr:colOff>295275</xdr:colOff>
                    <xdr:row>23</xdr:row>
                    <xdr:rowOff>180975</xdr:rowOff>
                  </from>
                  <to>
                    <xdr:col>3</xdr:col>
                    <xdr:colOff>447675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NoweEUR">
                <anchor moveWithCells="1" sizeWithCells="1">
                  <from>
                    <xdr:col>0</xdr:col>
                    <xdr:colOff>314325</xdr:colOff>
                    <xdr:row>40</xdr:row>
                    <xdr:rowOff>114300</xdr:rowOff>
                  </from>
                  <to>
                    <xdr:col>3</xdr:col>
                    <xdr:colOff>447675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usunuslugePLN">
                <anchor moveWithCells="1">
                  <from>
                    <xdr:col>6</xdr:col>
                    <xdr:colOff>38100</xdr:colOff>
                    <xdr:row>23</xdr:row>
                    <xdr:rowOff>180975</xdr:rowOff>
                  </from>
                  <to>
                    <xdr:col>9</xdr:col>
                    <xdr:colOff>304800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ususnuslugeEUR">
                <anchor moveWithCells="1">
                  <from>
                    <xdr:col>6</xdr:col>
                    <xdr:colOff>38100</xdr:colOff>
                    <xdr:row>40</xdr:row>
                    <xdr:rowOff>66675</xdr:rowOff>
                  </from>
                  <to>
                    <xdr:col>9</xdr:col>
                    <xdr:colOff>304800</xdr:colOff>
                    <xdr:row>42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theme="2" tint="-0.749992370372631"/>
  </sheetPr>
  <dimension ref="A1:L20"/>
  <sheetViews>
    <sheetView showGridLines="0" workbookViewId="0">
      <selection activeCell="G10" sqref="G10"/>
    </sheetView>
  </sheetViews>
  <sheetFormatPr defaultColWidth="0" defaultRowHeight="23.25" zeroHeight="1" x14ac:dyDescent="0.35"/>
  <cols>
    <col min="1" max="1" width="15" style="93" customWidth="1"/>
    <col min="2" max="2" width="12.28515625" style="93" bestFit="1" customWidth="1"/>
    <col min="3" max="3" width="8.7109375" style="162" customWidth="1"/>
    <col min="4" max="4" width="14" style="162" bestFit="1" customWidth="1"/>
    <col min="5" max="5" width="13.140625" style="162" customWidth="1"/>
    <col min="6" max="6" width="9.140625" style="162" customWidth="1"/>
    <col min="7" max="7" width="14" style="162" bestFit="1" customWidth="1"/>
    <col min="8" max="8" width="14.85546875" style="93" customWidth="1"/>
    <col min="9" max="10" width="9.140625" style="93" customWidth="1"/>
    <col min="11" max="12" width="9.140625" style="93" hidden="1" customWidth="1"/>
    <col min="13" max="16384" width="0" style="93" hidden="1"/>
  </cols>
  <sheetData>
    <row r="1" spans="1:11" ht="15" x14ac:dyDescent="0.25">
      <c r="C1" s="93"/>
      <c r="D1" s="93"/>
      <c r="E1" s="93"/>
      <c r="F1" s="93"/>
      <c r="G1" s="93"/>
      <c r="K1" s="161">
        <f>COUNTIF(B11,0)+COUNTIF(E9,0)+COUNTIF(H7,0)</f>
        <v>2</v>
      </c>
    </row>
    <row r="2" spans="1:11" ht="19.5" thickBot="1" x14ac:dyDescent="0.35">
      <c r="B2" s="94" t="s">
        <v>49</v>
      </c>
      <c r="C2" s="95"/>
      <c r="D2" s="95"/>
      <c r="E2" s="108"/>
      <c r="F2" s="93"/>
      <c r="G2" s="93"/>
      <c r="K2" s="93" t="str">
        <f>IF(K1&lt;2,"błąd","ok")</f>
        <v>ok</v>
      </c>
    </row>
    <row r="3" spans="1:11" ht="15" x14ac:dyDescent="0.25">
      <c r="A3" s="96" t="s">
        <v>48</v>
      </c>
      <c r="B3" s="97"/>
      <c r="C3" s="97"/>
      <c r="D3" s="97"/>
      <c r="E3" s="97"/>
      <c r="F3" s="97"/>
      <c r="G3" s="97"/>
      <c r="H3" s="97"/>
      <c r="I3" s="98"/>
      <c r="J3" s="100"/>
      <c r="K3" s="100"/>
    </row>
    <row r="4" spans="1:11" ht="15" hidden="1" x14ac:dyDescent="0.25">
      <c r="A4" s="99" t="b">
        <v>1</v>
      </c>
      <c r="B4" s="100"/>
      <c r="C4" s="100"/>
      <c r="D4" s="100"/>
      <c r="E4" s="100"/>
      <c r="F4" s="100"/>
      <c r="G4" s="100"/>
      <c r="H4" s="100"/>
      <c r="I4" s="101"/>
      <c r="J4" s="100"/>
      <c r="K4" s="100"/>
    </row>
    <row r="5" spans="1:11" ht="15" x14ac:dyDescent="0.25">
      <c r="A5" s="99"/>
      <c r="B5" s="100"/>
      <c r="C5" s="100"/>
      <c r="D5" s="100"/>
      <c r="E5" s="100"/>
      <c r="F5" s="100"/>
      <c r="G5" s="100"/>
      <c r="H5" s="100"/>
      <c r="I5" s="101"/>
      <c r="J5" s="100"/>
      <c r="K5" s="100"/>
    </row>
    <row r="6" spans="1:11" ht="15.75" thickBot="1" x14ac:dyDescent="0.3">
      <c r="A6" s="241" t="s">
        <v>44</v>
      </c>
      <c r="B6" s="242"/>
      <c r="C6" s="100"/>
      <c r="D6" s="242" t="s">
        <v>71</v>
      </c>
      <c r="E6" s="242"/>
      <c r="F6" s="100"/>
      <c r="G6" s="242" t="s">
        <v>72</v>
      </c>
      <c r="H6" s="242"/>
      <c r="I6" s="103"/>
      <c r="J6" s="102"/>
      <c r="K6" s="102"/>
    </row>
    <row r="7" spans="1:11" ht="15.75" thickBot="1" x14ac:dyDescent="0.3">
      <c r="A7" s="112" t="s">
        <v>42</v>
      </c>
      <c r="B7" s="104">
        <v>4000</v>
      </c>
      <c r="C7" s="100"/>
      <c r="D7" s="112" t="s">
        <v>70</v>
      </c>
      <c r="E7" s="158">
        <v>0</v>
      </c>
      <c r="F7" s="100"/>
      <c r="G7" s="115" t="s">
        <v>45</v>
      </c>
      <c r="H7" s="160">
        <v>0</v>
      </c>
      <c r="I7" s="101"/>
      <c r="J7" s="100"/>
      <c r="K7" s="100"/>
    </row>
    <row r="8" spans="1:11" ht="15" x14ac:dyDescent="0.25">
      <c r="A8" s="113" t="s">
        <v>43</v>
      </c>
      <c r="B8" s="105">
        <v>0.15</v>
      </c>
      <c r="C8" s="100"/>
      <c r="D8" s="114" t="s">
        <v>71</v>
      </c>
      <c r="E8" s="159">
        <v>0</v>
      </c>
      <c r="F8" s="100"/>
      <c r="G8" s="93"/>
      <c r="I8" s="101"/>
      <c r="J8" s="100"/>
      <c r="K8" s="100"/>
    </row>
    <row r="9" spans="1:11" ht="15.75" thickBot="1" x14ac:dyDescent="0.3">
      <c r="A9" s="113" t="s">
        <v>46</v>
      </c>
      <c r="B9" s="110">
        <f>B7*B8+B7</f>
        <v>4600</v>
      </c>
      <c r="C9" s="100"/>
      <c r="D9" s="115" t="s">
        <v>45</v>
      </c>
      <c r="E9" s="165">
        <f>E7*E8</f>
        <v>0</v>
      </c>
      <c r="F9" s="100"/>
      <c r="G9" s="93"/>
      <c r="I9" s="101"/>
      <c r="J9" s="100"/>
      <c r="K9" s="100"/>
    </row>
    <row r="10" spans="1:11" ht="15" x14ac:dyDescent="0.25">
      <c r="A10" s="114" t="s">
        <v>44</v>
      </c>
      <c r="B10" s="106">
        <v>5.5</v>
      </c>
      <c r="C10" s="100"/>
      <c r="D10" s="100"/>
      <c r="E10" s="100"/>
      <c r="F10" s="100"/>
      <c r="G10" s="100"/>
      <c r="H10" s="100"/>
      <c r="I10" s="101"/>
      <c r="J10" s="100"/>
      <c r="K10" s="100"/>
    </row>
    <row r="11" spans="1:11" ht="15.75" thickBot="1" x14ac:dyDescent="0.3">
      <c r="A11" s="115" t="s">
        <v>45</v>
      </c>
      <c r="B11" s="111">
        <f>B9*B10</f>
        <v>25300</v>
      </c>
      <c r="C11" s="100"/>
      <c r="D11" s="100"/>
      <c r="E11" s="100"/>
      <c r="F11" s="100"/>
      <c r="G11" s="239" t="s">
        <v>58</v>
      </c>
      <c r="H11" s="239"/>
      <c r="I11" s="240"/>
      <c r="J11" s="157"/>
      <c r="K11" s="157"/>
    </row>
    <row r="12" spans="1:11" ht="15.75" thickBot="1" x14ac:dyDescent="0.3">
      <c r="A12" s="107"/>
      <c r="B12" s="108"/>
      <c r="C12" s="108"/>
      <c r="D12" s="108"/>
      <c r="E12" s="108"/>
      <c r="F12" s="108"/>
      <c r="G12" s="108"/>
      <c r="H12" s="108"/>
      <c r="I12" s="109"/>
      <c r="J12" s="100"/>
      <c r="K12" s="100"/>
    </row>
    <row r="13" spans="1:11" ht="35.25" customHeight="1" x14ac:dyDescent="0.4">
      <c r="A13" s="243" t="str">
        <f>IF(K2="błąd","WYBIERZ TYLKO JEDNĄ FORMĘ WYLCZENIA (WYZERUJ POZOSTAŁE)","")</f>
        <v/>
      </c>
      <c r="B13" s="243"/>
      <c r="C13" s="243"/>
      <c r="D13" s="243"/>
      <c r="E13" s="243"/>
      <c r="F13" s="243"/>
      <c r="G13" s="243"/>
      <c r="H13" s="243"/>
      <c r="I13" s="243"/>
      <c r="J13" s="100"/>
      <c r="K13" s="100"/>
    </row>
    <row r="14" spans="1:11" ht="15" hidden="1" customHeight="1" x14ac:dyDescent="0.35">
      <c r="A14" s="100"/>
      <c r="B14" s="100"/>
      <c r="H14" s="100"/>
      <c r="I14" s="100"/>
      <c r="J14" s="100"/>
      <c r="K14" s="100"/>
    </row>
    <row r="15" spans="1:11" ht="15" hidden="1" customHeight="1" x14ac:dyDescent="0.35">
      <c r="A15" s="100" t="s">
        <v>41</v>
      </c>
      <c r="B15" s="100">
        <v>2</v>
      </c>
      <c r="H15" s="100"/>
      <c r="I15" s="100"/>
      <c r="J15" s="100"/>
      <c r="K15" s="100"/>
    </row>
    <row r="16" spans="1:11" ht="15" hidden="1" customHeight="1" x14ac:dyDescent="0.35">
      <c r="A16" s="100" t="s">
        <v>60</v>
      </c>
      <c r="B16" s="100"/>
      <c r="H16" s="100"/>
      <c r="I16" s="100"/>
      <c r="J16" s="100"/>
      <c r="K16" s="100"/>
    </row>
    <row r="17" spans="1:11" ht="15" hidden="1" customHeight="1" x14ac:dyDescent="0.35">
      <c r="A17" s="100"/>
      <c r="B17" s="100"/>
      <c r="H17" s="100"/>
      <c r="I17" s="100"/>
      <c r="J17" s="100"/>
      <c r="K17" s="100"/>
    </row>
    <row r="18" spans="1:11" ht="15" hidden="1" customHeight="1" x14ac:dyDescent="0.35"/>
    <row r="19" spans="1:11" ht="15" hidden="1" customHeight="1" x14ac:dyDescent="0.35"/>
    <row r="20" spans="1:11" ht="15" hidden="1" customHeight="1" x14ac:dyDescent="0.35"/>
  </sheetData>
  <sheetProtection sheet="1" objects="1" scenarios="1"/>
  <mergeCells count="5">
    <mergeCell ref="G11:I11"/>
    <mergeCell ref="A6:B6"/>
    <mergeCell ref="D6:E6"/>
    <mergeCell ref="G6:H6"/>
    <mergeCell ref="A13:I13"/>
  </mergeCells>
  <hyperlinks>
    <hyperlink ref="G11" location="'Cena PLN'!A1" display="POWRÓT TO KALKULACJI"/>
  </hyperlink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>
    <tabColor theme="2" tint="-0.749992370372631"/>
  </sheetPr>
  <dimension ref="A1:K17"/>
  <sheetViews>
    <sheetView showGridLines="0" zoomScaleNormal="100" workbookViewId="0">
      <selection activeCell="E18" sqref="E18"/>
    </sheetView>
  </sheetViews>
  <sheetFormatPr defaultColWidth="0" defaultRowHeight="15" x14ac:dyDescent="0.25"/>
  <cols>
    <col min="1" max="2" width="12" style="21" customWidth="1"/>
    <col min="3" max="4" width="13.5703125" style="21" bestFit="1" customWidth="1"/>
    <col min="5" max="5" width="12" style="21" customWidth="1"/>
    <col min="6" max="6" width="13.5703125" style="21" bestFit="1" customWidth="1"/>
    <col min="7" max="7" width="14.5703125" style="21" customWidth="1"/>
    <col min="8" max="8" width="12.7109375" style="21" customWidth="1"/>
    <col min="9" max="9" width="13.85546875" style="21" customWidth="1"/>
    <col min="10" max="11" width="9.140625" style="21" customWidth="1"/>
    <col min="12" max="16384" width="9.140625" style="21" hidden="1"/>
  </cols>
  <sheetData>
    <row r="1" spans="1:11" ht="19.5" thickBot="1" x14ac:dyDescent="0.35">
      <c r="H1" s="247" t="s">
        <v>57</v>
      </c>
      <c r="I1" s="247"/>
      <c r="J1" s="247"/>
      <c r="K1" s="247"/>
    </row>
    <row r="2" spans="1:11" ht="15.75" thickBot="1" x14ac:dyDescent="0.3">
      <c r="A2" s="166" t="s">
        <v>75</v>
      </c>
      <c r="B2" s="167"/>
      <c r="C2" s="167"/>
      <c r="D2" s="167"/>
      <c r="E2" s="167"/>
      <c r="F2" s="164">
        <v>2</v>
      </c>
    </row>
    <row r="3" spans="1:11" ht="15.75" thickBot="1" x14ac:dyDescent="0.3">
      <c r="A3" s="87"/>
      <c r="B3" s="87"/>
      <c r="C3" s="87"/>
      <c r="D3" s="87"/>
      <c r="E3" s="87"/>
      <c r="F3" s="244" t="str">
        <f>IF(Wybierz_walute="KURS USD","USD","EUR")</f>
        <v>EUR</v>
      </c>
      <c r="G3" s="244"/>
      <c r="H3" s="244" t="s">
        <v>51</v>
      </c>
      <c r="I3" s="244"/>
    </row>
    <row r="4" spans="1:11" ht="15.75" thickBot="1" x14ac:dyDescent="0.3">
      <c r="A4" s="245" t="s">
        <v>54</v>
      </c>
      <c r="B4" s="245"/>
      <c r="C4" s="245"/>
      <c r="D4" s="245"/>
      <c r="E4" s="246"/>
      <c r="F4" s="88" t="s">
        <v>52</v>
      </c>
      <c r="G4" s="89" t="s">
        <v>53</v>
      </c>
      <c r="H4" s="88" t="s">
        <v>52</v>
      </c>
      <c r="I4" s="89" t="s">
        <v>53</v>
      </c>
    </row>
    <row r="5" spans="1:11" x14ac:dyDescent="0.25">
      <c r="A5" s="1" t="s">
        <v>55</v>
      </c>
      <c r="B5" s="1"/>
      <c r="C5" s="1"/>
      <c r="D5" s="1"/>
      <c r="E5" s="3"/>
      <c r="F5" s="4">
        <v>0</v>
      </c>
      <c r="G5" s="5">
        <v>0</v>
      </c>
      <c r="H5" s="2">
        <v>0</v>
      </c>
      <c r="I5" s="6">
        <v>0</v>
      </c>
    </row>
    <row r="6" spans="1:11" x14ac:dyDescent="0.25">
      <c r="A6" s="1" t="s">
        <v>56</v>
      </c>
      <c r="B6" s="1"/>
      <c r="C6" s="1"/>
      <c r="D6" s="1"/>
      <c r="E6" s="3"/>
      <c r="F6" s="4">
        <v>75</v>
      </c>
      <c r="G6" s="5"/>
      <c r="H6" s="2">
        <v>0</v>
      </c>
      <c r="I6" s="6">
        <v>0</v>
      </c>
    </row>
    <row r="7" spans="1:11" x14ac:dyDescent="0.25">
      <c r="A7" s="1"/>
      <c r="B7" s="1"/>
      <c r="C7" s="1"/>
      <c r="D7" s="1"/>
      <c r="E7" s="3"/>
      <c r="F7" s="4"/>
      <c r="G7" s="5"/>
      <c r="H7" s="2"/>
      <c r="I7" s="6"/>
    </row>
    <row r="8" spans="1:11" x14ac:dyDescent="0.25">
      <c r="A8" s="1"/>
      <c r="B8" s="1"/>
      <c r="C8" s="1"/>
      <c r="D8" s="1"/>
      <c r="E8" s="3"/>
      <c r="F8" s="4"/>
      <c r="G8" s="5"/>
      <c r="H8" s="2"/>
      <c r="I8" s="6"/>
    </row>
    <row r="9" spans="1:11" x14ac:dyDescent="0.25">
      <c r="A9" s="1"/>
      <c r="B9" s="1"/>
      <c r="C9" s="1"/>
      <c r="D9" s="1"/>
      <c r="E9" s="3"/>
      <c r="F9" s="4"/>
      <c r="G9" s="5"/>
      <c r="H9" s="2"/>
      <c r="I9" s="6"/>
    </row>
    <row r="10" spans="1:11" x14ac:dyDescent="0.25">
      <c r="A10" s="1"/>
      <c r="B10" s="1"/>
      <c r="C10" s="1"/>
      <c r="D10" s="1"/>
      <c r="E10" s="3"/>
      <c r="F10" s="4"/>
      <c r="G10" s="5"/>
      <c r="H10" s="2"/>
      <c r="I10" s="6"/>
    </row>
    <row r="11" spans="1:11" ht="15.75" x14ac:dyDescent="0.25">
      <c r="A11" s="90" t="s">
        <v>16</v>
      </c>
      <c r="B11" s="90"/>
      <c r="C11" s="90"/>
      <c r="D11" s="90"/>
      <c r="E11" s="91"/>
      <c r="F11" s="17">
        <f>SUBTOTAL(109,Tabela7[Kolumna6])</f>
        <v>75</v>
      </c>
      <c r="G11" s="18">
        <f>SUBTOTAL(109,Tabela7[Kolumna7])</f>
        <v>0</v>
      </c>
      <c r="H11" s="19">
        <f>SUBTOTAL(109,Tabela7[Kolumna8])</f>
        <v>0</v>
      </c>
      <c r="I11" s="20">
        <f>SUBTOTAL(109,Tabela7[Kolumna9])</f>
        <v>0</v>
      </c>
    </row>
    <row r="15" spans="1:11" x14ac:dyDescent="0.25">
      <c r="H15" s="117"/>
      <c r="I15" s="117"/>
    </row>
    <row r="16" spans="1:11" x14ac:dyDescent="0.25">
      <c r="J16" s="116"/>
      <c r="K16" s="116"/>
    </row>
    <row r="17" spans="1:9" s="117" customFormat="1" x14ac:dyDescent="0.25">
      <c r="A17" s="21"/>
      <c r="B17" s="21"/>
      <c r="C17" s="21"/>
      <c r="D17" s="21"/>
      <c r="E17" s="21"/>
      <c r="F17" s="21"/>
      <c r="G17" s="21"/>
      <c r="H17" s="21"/>
      <c r="I17" s="21"/>
    </row>
  </sheetData>
  <sheetProtection sheet="1" objects="1" scenarios="1" formatCells="0" insertHyperlinks="0" deleteColumns="0" sort="0"/>
  <mergeCells count="4">
    <mergeCell ref="F3:G3"/>
    <mergeCell ref="H3:I3"/>
    <mergeCell ref="A4:E4"/>
    <mergeCell ref="H1:K1"/>
  </mergeCells>
  <conditionalFormatting sqref="F5:G11">
    <cfRule type="expression" dxfId="34" priority="1">
      <formula>IF(Wybierz_walute="KURS USD",1,)</formula>
    </cfRule>
  </conditionalFormatting>
  <hyperlinks>
    <hyperlink ref="H1:K1" location="'Cena PLN'!A60" display="&lt;&lt; POWRÓT DO KALKULACJI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odajnowauslugezwiedzanie">
                <anchor moveWithCells="1" sizeWithCells="1">
                  <from>
                    <xdr:col>0</xdr:col>
                    <xdr:colOff>66675</xdr:colOff>
                    <xdr:row>12</xdr:row>
                    <xdr:rowOff>38100</xdr:rowOff>
                  </from>
                  <to>
                    <xdr:col>2</xdr:col>
                    <xdr:colOff>666750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usuwanieuslugiplatnejnamiejscu">
                <anchor moveWithCells="1">
                  <from>
                    <xdr:col>2</xdr:col>
                    <xdr:colOff>895350</xdr:colOff>
                    <xdr:row>12</xdr:row>
                    <xdr:rowOff>47625</xdr:rowOff>
                  </from>
                  <to>
                    <xdr:col>5</xdr:col>
                    <xdr:colOff>742950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2:A10"/>
  <sheetViews>
    <sheetView workbookViewId="0">
      <selection activeCell="A7" sqref="A7"/>
    </sheetView>
  </sheetViews>
  <sheetFormatPr defaultRowHeight="15" x14ac:dyDescent="0.25"/>
  <sheetData>
    <row r="2" spans="1:1" x14ac:dyDescent="0.25">
      <c r="A2" t="s">
        <v>66</v>
      </c>
    </row>
    <row r="3" spans="1:1" x14ac:dyDescent="0.25">
      <c r="A3" t="s">
        <v>0</v>
      </c>
    </row>
    <row r="4" spans="1:1" x14ac:dyDescent="0.25">
      <c r="A4" t="s">
        <v>67</v>
      </c>
    </row>
    <row r="6" spans="1:1" x14ac:dyDescent="0.25">
      <c r="A6" t="s">
        <v>68</v>
      </c>
    </row>
    <row r="7" spans="1:1" x14ac:dyDescent="0.25">
      <c r="A7">
        <f>'Cena PLN'!C7*'Cena PLN'!E7*'Cena PLN'!H7</f>
        <v>12</v>
      </c>
    </row>
    <row r="9" spans="1:1" x14ac:dyDescent="0.25">
      <c r="A9" t="s">
        <v>69</v>
      </c>
    </row>
    <row r="10" spans="1:1" x14ac:dyDescent="0.25">
      <c r="A10">
        <f>'Cena PLN'!H7*'Cena PLN'!H8*'Cena PLN'!E7</f>
        <v>12</v>
      </c>
    </row>
  </sheetData>
  <dataValidations count="1">
    <dataValidation type="list" allowBlank="1" showInputMessage="1" showErrorMessage="1" sqref="A3:A4">
      <formula1>Wybór_waluty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3</vt:i4>
      </vt:variant>
    </vt:vector>
  </HeadingPairs>
  <TitlesOfParts>
    <vt:vector size="7" baseType="lpstr">
      <vt:lpstr>Cena PLN</vt:lpstr>
      <vt:lpstr>koszty autokaru</vt:lpstr>
      <vt:lpstr>koszty na miejscu</vt:lpstr>
      <vt:lpstr>NIE USUWAC</vt:lpstr>
      <vt:lpstr>KURS_EURO</vt:lpstr>
      <vt:lpstr>Wybierz_walute</vt:lpstr>
      <vt:lpstr>Wybór_waluty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</dc:creator>
  <cp:lastModifiedBy>Tomek</cp:lastModifiedBy>
  <cp:lastPrinted>2017-07-04T08:07:26Z</cp:lastPrinted>
  <dcterms:created xsi:type="dcterms:W3CDTF">2017-06-30T08:37:31Z</dcterms:created>
  <dcterms:modified xsi:type="dcterms:W3CDTF">2018-10-23T12:19:31Z</dcterms:modified>
</cp:coreProperties>
</file>